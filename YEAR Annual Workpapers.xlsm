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iawei Qi\Documents\Intern\4. Upload\Python\20241126\"/>
    </mc:Choice>
  </mc:AlternateContent>
  <xr:revisionPtr revIDLastSave="0" documentId="13_ncr:1_{B95907E1-95CF-46D2-9FD4-DA07A27655E2}" xr6:coauthVersionLast="47" xr6:coauthVersionMax="47" xr10:uidLastSave="{00000000-0000-0000-0000-000000000000}"/>
  <bookViews>
    <workbookView xWindow="-98" yWindow="-98" windowWidth="21795" windowHeight="12975" tabRatio="1000" firstSheet="3" activeTab="6" xr2:uid="{D54CBA8A-760C-4AAA-AC9A-08A43D474E25}"/>
  </bookViews>
  <sheets>
    <sheet name="Sheet_XeroTenants" sheetId="57" state="veryHidden" r:id="rId1"/>
    <sheet name="Sheet_XeroTokens" sheetId="56" state="veryHidden" r:id="rId2"/>
    <sheet name="Searchable DropDown" sheetId="60" state="veryHidden" r:id="rId3"/>
    <sheet name="Xero Report Generator" sheetId="54" r:id="rId4"/>
    <sheet name="Trial Balance Dump" sheetId="12" r:id="rId5"/>
    <sheet name="Linked Cell Reference &amp; Char Re" sheetId="32" state="veryHidden" r:id="rId6"/>
    <sheet name="File Path" sheetId="59" r:id="rId7"/>
    <sheet name="Source Document Link" sheetId="10" r:id="rId8"/>
  </sheets>
  <functionGroups builtInGroupCount="19"/>
  <externalReferences>
    <externalReference r:id="rId9"/>
  </externalReferences>
  <definedNames>
    <definedName name="\p" localSheetId="6">#REF!</definedName>
    <definedName name="\p" localSheetId="2">#REF!</definedName>
    <definedName name="\p">#REF!</definedName>
    <definedName name="\s" localSheetId="6">#REF!</definedName>
    <definedName name="\s">#REF!</definedName>
    <definedName name="_xlnm._FilterDatabase" localSheetId="6" hidden="1">'File Path'!$A$16:$N$16</definedName>
    <definedName name="_xlnm._FilterDatabase" localSheetId="7" hidden="1">'Source Document Link'!$G$1:$G$19</definedName>
    <definedName name="_xlnm._FilterDatabase" localSheetId="4" hidden="1">'Trial Balance Dump'!$A$5:$Z$5</definedName>
    <definedName name="_xleta.IF" hidden="1" xlm="1">#NAME?</definedName>
    <definedName name="Accounts_List" localSheetId="6">OFFSET(#REF!,,,COUNTIF(#REF!,"*?")-1)</definedName>
    <definedName name="Accounts_List" localSheetId="2">OFFSET('Searchable DropDown'!$A$2,,,COUNTIF('Searchable DropDown'!$A:$A,"*?")-1)</definedName>
    <definedName name="Accounts_List">OFFSET('Searchable DropDown'!$A$2,,,COUNTIF('Searchable DropDown'!$A:$A,"*?")-1)</definedName>
    <definedName name="All_Accounts_in_XERO" localSheetId="2">'[1]Linked Cell Reference &amp; Char Re'!$M$5:$M$19</definedName>
    <definedName name="All_Accounts_in_XERO">'Linked Cell Reference &amp; Char Re'!$C$5:$C$19</definedName>
    <definedName name="ALL_ENTRIES_WITH_HEAD" localSheetId="2">#REF!</definedName>
    <definedName name="ALL_ENTRIES_WITH_HEAD">#REF!</definedName>
    <definedName name="ClientName" localSheetId="2">#REF!</definedName>
    <definedName name="ClientName">#REF!</definedName>
    <definedName name="Closely_Held_Trust" localSheetId="2">#REF!</definedName>
    <definedName name="Closely_Held_Trust">#REF!</definedName>
    <definedName name="CloselyHeldTrust">#REF!</definedName>
    <definedName name="Cost_of_Sales" localSheetId="6">'Linked Cell Reference &amp; Char Re'!$A$9</definedName>
    <definedName name="Cost_of_Sales" localSheetId="2">'[1]Linked Cell Reference &amp; Char Re'!$K$9</definedName>
    <definedName name="Cost_of_Sales">'Linked Cell Reference &amp; Char Re'!$A$9</definedName>
    <definedName name="Current_Asset" localSheetId="6">'Linked Cell Reference &amp; Char Re'!$A$25:$A$26</definedName>
    <definedName name="Current_Asset" localSheetId="2">'[1]Linked Cell Reference &amp; Char Re'!$K$25:$K$26</definedName>
    <definedName name="Current_Asset">'Linked Cell Reference &amp; Char Re'!$A$25:$A$26</definedName>
    <definedName name="Current_Liability" localSheetId="6">'Linked Cell Reference &amp; Char Re'!$A$29:$A$30</definedName>
    <definedName name="Current_Liability" localSheetId="2">'[1]Linked Cell Reference &amp; Char Re'!$K$29:$K$30</definedName>
    <definedName name="Current_Liability">'Linked Cell Reference &amp; Char Re'!$A$29:$A$30</definedName>
    <definedName name="CurrentFinancialYear" localSheetId="2">#REF!</definedName>
    <definedName name="CurrentFinancialYear">#REF!</definedName>
    <definedName name="EntityType" localSheetId="2">#REF!</definedName>
    <definedName name="EntityType">#REF!</definedName>
    <definedName name="Equity" localSheetId="6">'Linked Cell Reference &amp; Char Re'!$A$20</definedName>
    <definedName name="Equity" localSheetId="2">'[1]Linked Cell Reference &amp; Char Re'!$K$20</definedName>
    <definedName name="Equity">'Linked Cell Reference &amp; Char Re'!$A$20</definedName>
    <definedName name="ErrorRange" localSheetId="2">#REF!</definedName>
    <definedName name="ErrorRange">#REF!</definedName>
    <definedName name="Exceptions" localSheetId="2">#REF!</definedName>
    <definedName name="Exceptions">#REF!</definedName>
    <definedName name="Expenses" localSheetId="6">'Linked Cell Reference &amp; Char Re'!$A$15:$A$17</definedName>
    <definedName name="Expenses" localSheetId="2">'[1]Linked Cell Reference &amp; Char Re'!$K$15:$K$17</definedName>
    <definedName name="Expenses">'Linked Cell Reference &amp; Char Re'!$A$15:$A$17</definedName>
    <definedName name="fd_addr_addressee" localSheetId="2">#REF!</definedName>
    <definedName name="fd_addr_addressee">#REF!</definedName>
    <definedName name="fd_addr_line1" localSheetId="2">#REF!</definedName>
    <definedName name="fd_addr_line1">#REF!</definedName>
    <definedName name="fd_addr_line2" localSheetId="2">#REF!</definedName>
    <definedName name="fd_addr_line2">#REF!</definedName>
    <definedName name="fd_addr_line3">#REF!</definedName>
    <definedName name="fd_finYear">#REF!</definedName>
    <definedName name="fd_groupCode">#REF!</definedName>
    <definedName name="fd_yesno_taxschedule">#REF!</definedName>
    <definedName name="fd_yesno_taxsummary">#REF!</definedName>
    <definedName name="Fixed_Asset" localSheetId="6">'Linked Cell Reference &amp; Char Re'!$A$24</definedName>
    <definedName name="Fixed_Asset" localSheetId="2">'[1]Linked Cell Reference &amp; Char Re'!$K$24</definedName>
    <definedName name="Fixed_Asset">'Linked Cell Reference &amp; Char Re'!$A$24</definedName>
    <definedName name="Income" localSheetId="6">'Linked Cell Reference &amp; Char Re'!$A$12</definedName>
    <definedName name="Income" localSheetId="2">'[1]Linked Cell Reference &amp; Char Re'!$K$12</definedName>
    <definedName name="Income">'Linked Cell Reference &amp; Char Re'!$A$12</definedName>
    <definedName name="MyRow" localSheetId="2">#REF!</definedName>
    <definedName name="MyRow">#REF!</definedName>
    <definedName name="Non_current_Asset" localSheetId="6">'Linked Cell Reference &amp; Char Re'!$A$27</definedName>
    <definedName name="Non_current_Asset" localSheetId="2">'[1]Linked Cell Reference &amp; Char Re'!$K$27</definedName>
    <definedName name="Non_current_Asset">'Linked Cell Reference &amp; Char Re'!$A$27</definedName>
    <definedName name="Non_current_Liability" localSheetId="6">'Linked Cell Reference &amp; Char Re'!$A$31</definedName>
    <definedName name="Non_current_Liability" localSheetId="2">'[1]Linked Cell Reference &amp; Char Re'!$K$31</definedName>
    <definedName name="Non_current_Liability">'Linked Cell Reference &amp; Char Re'!$A$31</definedName>
    <definedName name="PeriodEnd" localSheetId="2">#REF!</definedName>
    <definedName name="PeriodEnd">#REF!</definedName>
    <definedName name="PreviousFinancialYear" localSheetId="2">#REF!</definedName>
    <definedName name="PreviousFinancialYear">#REF!</definedName>
    <definedName name="_xlnm.Print_Area" localSheetId="2">#REF!</definedName>
    <definedName name="_xlnm.Print_Area" localSheetId="7">'Source Document Link'!$A$1:$F$19</definedName>
    <definedName name="_xlnm.Print_Area">#REF!</definedName>
    <definedName name="PRINT_AREA_MI" localSheetId="2">#REF!</definedName>
    <definedName name="PRINT_AREA_MI">#REF!</definedName>
    <definedName name="Sourcedocs" localSheetId="2">#REF!</definedName>
    <definedName name="Sourcedocs">#REF!</definedName>
    <definedName name="Tax_Preferred_Amount">#REF!</definedName>
    <definedName name="Taxableincome">#REF!</definedName>
    <definedName name="Trading_Income" localSheetId="6">'Linked Cell Reference &amp; Char Re'!$A$5:$A$6</definedName>
    <definedName name="Trading_Income" localSheetId="2">'[1]Linked Cell Reference &amp; Char Re'!$K$5:$K$6</definedName>
    <definedName name="Trading_Income">'Linked Cell Reference &amp; Char Re'!$A$5:$A$6</definedName>
    <definedName name="Trustee_Beneficiary" localSheetId="2">#REF!</definedName>
    <definedName name="Trustee_Beneficiary">#REF!</definedName>
    <definedName name="wrn.GST._.Error._.Prints." localSheetId="6" hidden="1">{#N/A,#N/A,FALSE,"ErrorDisplayGeneral";#N/A,#N/A,FALSE,"ErrorDisplaySpend";#N/A,#N/A,FALSE,"ErrorReceiveMoney";#N/A,#N/A,FALSE,"ErrorDisplaySerSale";#N/A,#N/A,FALSE,"ErrorDisplaySerPur"}</definedName>
    <definedName name="wrn.GST._.Error._.Prints." localSheetId="2" hidden="1">{#N/A,#N/A,FALSE,"ErrorDisplayGeneral";#N/A,#N/A,FALSE,"ErrorDisplaySpend";#N/A,#N/A,FALSE,"ErrorReceiveMoney";#N/A,#N/A,FALSE,"ErrorDisplaySerSale";#N/A,#N/A,FALSE,"ErrorDisplaySerPur"}</definedName>
    <definedName name="wrn.GST._.Error._.Prints." localSheetId="7" hidden="1">{#N/A,#N/A,FALSE,"ErrorDisplayGeneral";#N/A,#N/A,FALSE,"ErrorDisplaySpend";#N/A,#N/A,FALSE,"ErrorReceiveMoney";#N/A,#N/A,FALSE,"ErrorDisplaySerSale";#N/A,#N/A,FALSE,"ErrorDisplaySerPur"}</definedName>
    <definedName name="wrn.GST._.Error._.Prints." hidden="1">{#N/A,#N/A,FALSE,"ErrorDisplayGeneral";#N/A,#N/A,FALSE,"ErrorDisplaySpend";#N/A,#N/A,FALSE,"ErrorReceiveMoney";#N/A,#N/A,FALSE,"ErrorDisplaySerSale";#N/A,#N/A,FALSE,"ErrorDisplaySerPur"}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60" l="1"/>
  <c r="A4" i="60"/>
  <c r="A5" i="60"/>
  <c r="A6" i="60"/>
  <c r="A7" i="60"/>
  <c r="A8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49" i="60"/>
  <c r="A50" i="60"/>
  <c r="A51" i="60"/>
  <c r="A52" i="60"/>
  <c r="A53" i="60"/>
  <c r="A54" i="60"/>
  <c r="A55" i="60"/>
  <c r="A56" i="60"/>
  <c r="A57" i="60"/>
  <c r="A58" i="60"/>
  <c r="A59" i="60"/>
  <c r="A60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76" i="60"/>
  <c r="A77" i="60"/>
  <c r="A78" i="60"/>
  <c r="A79" i="60"/>
  <c r="A80" i="60"/>
  <c r="A81" i="60"/>
  <c r="A82" i="60"/>
  <c r="A83" i="60"/>
  <c r="A84" i="60"/>
  <c r="A85" i="60"/>
  <c r="A86" i="60"/>
  <c r="A87" i="60"/>
  <c r="A88" i="60"/>
  <c r="A89" i="60"/>
  <c r="A90" i="60"/>
  <c r="A91" i="60"/>
  <c r="A92" i="60"/>
  <c r="A93" i="60"/>
  <c r="A94" i="60"/>
  <c r="A95" i="60"/>
  <c r="A96" i="60"/>
  <c r="A97" i="60"/>
  <c r="A98" i="60"/>
  <c r="A99" i="60"/>
  <c r="A100" i="60"/>
  <c r="A101" i="60"/>
  <c r="A102" i="60"/>
  <c r="A103" i="60"/>
  <c r="A104" i="60"/>
  <c r="A105" i="60"/>
  <c r="A106" i="60"/>
  <c r="A107" i="60"/>
  <c r="A108" i="60"/>
  <c r="A109" i="60"/>
  <c r="A110" i="60"/>
  <c r="A111" i="60"/>
  <c r="A112" i="60"/>
  <c r="A113" i="60"/>
  <c r="A114" i="60"/>
  <c r="A115" i="60"/>
  <c r="A116" i="60"/>
  <c r="A117" i="60"/>
  <c r="A118" i="60"/>
  <c r="A119" i="60"/>
  <c r="A120" i="60"/>
  <c r="A121" i="60"/>
  <c r="A122" i="60"/>
  <c r="A123" i="60"/>
  <c r="A124" i="60"/>
  <c r="A125" i="60"/>
  <c r="A126" i="60"/>
  <c r="A127" i="60"/>
  <c r="A128" i="60"/>
  <c r="A129" i="60"/>
  <c r="A130" i="60"/>
  <c r="A131" i="60"/>
  <c r="A132" i="60"/>
  <c r="A133" i="60"/>
  <c r="A134" i="60"/>
  <c r="A135" i="60"/>
  <c r="A136" i="60"/>
  <c r="A137" i="60"/>
  <c r="A138" i="60"/>
  <c r="A139" i="60"/>
  <c r="A140" i="60"/>
  <c r="A141" i="60"/>
  <c r="A142" i="60"/>
  <c r="A143" i="60"/>
  <c r="A144" i="60"/>
  <c r="A145" i="60"/>
  <c r="A146" i="60"/>
  <c r="A147" i="60"/>
  <c r="A148" i="60"/>
  <c r="A149" i="60"/>
  <c r="A150" i="60"/>
  <c r="A151" i="60"/>
  <c r="A152" i="60"/>
  <c r="A153" i="60"/>
  <c r="A154" i="60"/>
  <c r="A155" i="60"/>
  <c r="A156" i="60"/>
  <c r="A157" i="60"/>
  <c r="A158" i="60"/>
  <c r="A159" i="60"/>
  <c r="A160" i="60"/>
  <c r="A161" i="60"/>
  <c r="A162" i="60"/>
  <c r="A163" i="60"/>
  <c r="A164" i="60"/>
  <c r="A165" i="60"/>
  <c r="A166" i="60"/>
  <c r="A167" i="60"/>
  <c r="A168" i="60"/>
  <c r="A169" i="60"/>
  <c r="A170" i="60"/>
  <c r="A171" i="60"/>
  <c r="A172" i="60"/>
  <c r="A173" i="60"/>
  <c r="A174" i="60"/>
  <c r="A175" i="60"/>
  <c r="A176" i="60"/>
  <c r="A177" i="60"/>
  <c r="A178" i="60"/>
  <c r="A179" i="60"/>
  <c r="A180" i="60"/>
  <c r="A181" i="60"/>
  <c r="A182" i="60"/>
  <c r="A183" i="60"/>
  <c r="A184" i="60"/>
  <c r="A185" i="60"/>
  <c r="A186" i="60"/>
  <c r="A187" i="60"/>
  <c r="A188" i="60"/>
  <c r="A189" i="60"/>
  <c r="A190" i="60"/>
  <c r="A191" i="60"/>
  <c r="A192" i="60"/>
  <c r="A193" i="60"/>
  <c r="A194" i="60"/>
  <c r="A195" i="60"/>
  <c r="A196" i="60"/>
  <c r="A197" i="60"/>
  <c r="A198" i="60"/>
  <c r="A199" i="60"/>
  <c r="A200" i="60"/>
  <c r="A201" i="60"/>
  <c r="A202" i="60"/>
  <c r="A203" i="60"/>
  <c r="A204" i="60"/>
  <c r="A205" i="60"/>
  <c r="A206" i="60"/>
  <c r="A207" i="60"/>
  <c r="A208" i="60"/>
  <c r="A209" i="60"/>
  <c r="A210" i="60"/>
  <c r="A211" i="60"/>
  <c r="A212" i="60"/>
  <c r="A213" i="60"/>
  <c r="A214" i="60"/>
  <c r="A215" i="60"/>
  <c r="A216" i="60"/>
  <c r="A217" i="60"/>
  <c r="A218" i="60"/>
  <c r="A219" i="60"/>
  <c r="A220" i="60"/>
  <c r="A221" i="60"/>
  <c r="A222" i="60"/>
  <c r="A223" i="60"/>
  <c r="A224" i="60"/>
  <c r="A225" i="60"/>
  <c r="A226" i="60"/>
  <c r="A227" i="60"/>
  <c r="A228" i="60"/>
  <c r="A229" i="60"/>
  <c r="A230" i="60"/>
  <c r="A231" i="60"/>
  <c r="A232" i="60"/>
  <c r="A233" i="60"/>
  <c r="A234" i="60"/>
  <c r="A235" i="60"/>
  <c r="A236" i="60"/>
  <c r="A237" i="60"/>
  <c r="A238" i="60"/>
  <c r="A239" i="60"/>
  <c r="A240" i="60"/>
  <c r="A241" i="60"/>
  <c r="A242" i="60"/>
  <c r="A243" i="60"/>
  <c r="A244" i="60"/>
  <c r="A245" i="60"/>
  <c r="A246" i="60"/>
  <c r="A247" i="60"/>
  <c r="A248" i="60"/>
  <c r="A249" i="60"/>
  <c r="A250" i="60"/>
  <c r="A251" i="60"/>
  <c r="A252" i="60"/>
  <c r="A253" i="60"/>
  <c r="A254" i="60"/>
  <c r="A255" i="60"/>
  <c r="A256" i="60"/>
  <c r="A257" i="60"/>
  <c r="A258" i="60"/>
  <c r="A259" i="60"/>
  <c r="A260" i="60"/>
  <c r="A261" i="60"/>
  <c r="A262" i="60"/>
  <c r="A263" i="60"/>
  <c r="A264" i="60"/>
  <c r="A265" i="60"/>
  <c r="A266" i="60"/>
  <c r="A267" i="60"/>
  <c r="A268" i="60"/>
  <c r="A269" i="60"/>
  <c r="A270" i="60"/>
  <c r="A271" i="60"/>
  <c r="A272" i="60"/>
  <c r="A273" i="60"/>
  <c r="A274" i="60"/>
  <c r="A275" i="60"/>
  <c r="A276" i="60"/>
  <c r="A277" i="60"/>
  <c r="A278" i="60"/>
  <c r="A279" i="60"/>
  <c r="A280" i="60"/>
  <c r="A281" i="60"/>
  <c r="A282" i="60"/>
  <c r="A283" i="60"/>
  <c r="A284" i="60"/>
  <c r="A285" i="60"/>
  <c r="A286" i="60"/>
  <c r="A287" i="60"/>
  <c r="A288" i="60"/>
  <c r="A289" i="60"/>
  <c r="A290" i="60"/>
  <c r="A291" i="60"/>
  <c r="A292" i="60"/>
  <c r="A293" i="60"/>
  <c r="A294" i="60"/>
  <c r="A295" i="60"/>
  <c r="A296" i="60"/>
  <c r="A297" i="60"/>
  <c r="A298" i="60"/>
  <c r="A299" i="60"/>
  <c r="A300" i="60"/>
  <c r="A301" i="60"/>
  <c r="A302" i="60"/>
  <c r="A303" i="60"/>
  <c r="A304" i="60"/>
  <c r="A305" i="60"/>
  <c r="A306" i="60"/>
  <c r="A307" i="60"/>
  <c r="A308" i="60"/>
  <c r="A309" i="60"/>
  <c r="A310" i="60"/>
  <c r="A311" i="60"/>
  <c r="A312" i="60"/>
  <c r="A313" i="60"/>
  <c r="A314" i="60"/>
  <c r="A315" i="60"/>
  <c r="A316" i="60"/>
  <c r="A317" i="60"/>
  <c r="A318" i="60"/>
  <c r="A319" i="60"/>
  <c r="A320" i="60"/>
  <c r="A321" i="60"/>
  <c r="A322" i="60"/>
  <c r="A323" i="60"/>
  <c r="A324" i="60"/>
  <c r="A325" i="60"/>
  <c r="A326" i="60"/>
  <c r="A327" i="60"/>
  <c r="A328" i="60"/>
  <c r="A329" i="60"/>
  <c r="A330" i="60"/>
  <c r="A331" i="60"/>
  <c r="A332" i="60"/>
  <c r="A333" i="60"/>
  <c r="A334" i="60"/>
  <c r="A335" i="60"/>
  <c r="A336" i="60"/>
  <c r="A337" i="60"/>
  <c r="A338" i="60"/>
  <c r="A339" i="60"/>
  <c r="A340" i="60"/>
  <c r="A341" i="60"/>
  <c r="A342" i="60"/>
  <c r="A343" i="60"/>
  <c r="A344" i="60"/>
  <c r="A345" i="60"/>
  <c r="A346" i="60"/>
  <c r="A347" i="60"/>
  <c r="A348" i="60"/>
  <c r="A349" i="60"/>
  <c r="A350" i="60"/>
  <c r="A351" i="60"/>
  <c r="A352" i="60"/>
  <c r="A353" i="60"/>
  <c r="A354" i="60"/>
  <c r="A355" i="60"/>
  <c r="A356" i="60"/>
  <c r="A357" i="60"/>
  <c r="A358" i="60"/>
  <c r="A359" i="60"/>
  <c r="A360" i="60"/>
  <c r="A361" i="60"/>
  <c r="A362" i="60"/>
  <c r="A363" i="60"/>
  <c r="A364" i="60"/>
  <c r="A365" i="60"/>
  <c r="A366" i="60"/>
  <c r="A367" i="60"/>
  <c r="A368" i="60"/>
  <c r="A369" i="60"/>
  <c r="A370" i="60"/>
  <c r="A371" i="60"/>
  <c r="A372" i="60"/>
  <c r="A373" i="60"/>
  <c r="A374" i="60"/>
  <c r="A375" i="60"/>
  <c r="A376" i="60"/>
  <c r="A377" i="60"/>
  <c r="A378" i="60"/>
  <c r="A379" i="60"/>
  <c r="A380" i="60"/>
  <c r="A381" i="60"/>
  <c r="A382" i="60"/>
  <c r="A383" i="60"/>
  <c r="A384" i="60"/>
  <c r="A385" i="60"/>
  <c r="A386" i="60"/>
  <c r="A387" i="60"/>
  <c r="A388" i="60"/>
  <c r="A389" i="60"/>
  <c r="A390" i="60"/>
  <c r="A391" i="60"/>
  <c r="A392" i="60"/>
  <c r="A393" i="60"/>
  <c r="A394" i="60"/>
  <c r="A395" i="60"/>
  <c r="A396" i="60"/>
  <c r="A397" i="60"/>
  <c r="A398" i="60"/>
  <c r="A399" i="60"/>
  <c r="A400" i="60"/>
  <c r="A401" i="60"/>
  <c r="A402" i="60"/>
  <c r="A403" i="60"/>
  <c r="A404" i="60"/>
  <c r="A405" i="60"/>
  <c r="A406" i="60"/>
  <c r="A407" i="60"/>
  <c r="A408" i="60"/>
  <c r="A409" i="60"/>
  <c r="A410" i="60"/>
  <c r="A411" i="60"/>
  <c r="A412" i="60"/>
  <c r="A413" i="60"/>
  <c r="A414" i="60"/>
  <c r="A415" i="60"/>
  <c r="A416" i="60"/>
  <c r="A417" i="60"/>
  <c r="A418" i="60"/>
  <c r="A419" i="60"/>
  <c r="A420" i="60"/>
  <c r="A421" i="60"/>
  <c r="A422" i="60"/>
  <c r="A423" i="60"/>
  <c r="A424" i="60"/>
  <c r="A425" i="60"/>
  <c r="A426" i="60"/>
  <c r="A427" i="60"/>
  <c r="A428" i="60"/>
  <c r="A429" i="60"/>
  <c r="A430" i="60"/>
  <c r="A431" i="60"/>
  <c r="A432" i="60"/>
  <c r="A433" i="60"/>
  <c r="A434" i="60"/>
  <c r="A435" i="60"/>
  <c r="A436" i="60"/>
  <c r="A437" i="60"/>
  <c r="A438" i="60"/>
  <c r="A439" i="60"/>
  <c r="A440" i="60"/>
  <c r="A441" i="60"/>
  <c r="A442" i="60"/>
  <c r="A443" i="60"/>
  <c r="A444" i="60"/>
  <c r="A445" i="60"/>
  <c r="A446" i="60"/>
  <c r="A447" i="60"/>
  <c r="A448" i="60"/>
  <c r="A449" i="60"/>
  <c r="A450" i="60"/>
  <c r="A451" i="60"/>
  <c r="A452" i="60"/>
  <c r="A453" i="60"/>
  <c r="A454" i="60"/>
  <c r="A455" i="60"/>
  <c r="A456" i="60"/>
  <c r="A457" i="60"/>
  <c r="A458" i="60"/>
  <c r="A459" i="60"/>
  <c r="A460" i="60"/>
  <c r="A461" i="60"/>
  <c r="A462" i="60"/>
  <c r="A463" i="60"/>
  <c r="A464" i="60"/>
  <c r="A465" i="60"/>
  <c r="A466" i="60"/>
  <c r="A467" i="60"/>
  <c r="A468" i="60"/>
  <c r="A469" i="60"/>
  <c r="A470" i="60"/>
  <c r="A471" i="60"/>
  <c r="A472" i="60"/>
  <c r="A473" i="60"/>
  <c r="A474" i="60"/>
  <c r="A475" i="60"/>
  <c r="A476" i="60"/>
  <c r="A477" i="60"/>
  <c r="A478" i="60"/>
  <c r="A479" i="60"/>
  <c r="A480" i="60"/>
  <c r="A481" i="60"/>
  <c r="A482" i="60"/>
  <c r="A483" i="60"/>
  <c r="A484" i="60"/>
  <c r="A485" i="60"/>
  <c r="A486" i="60"/>
  <c r="A487" i="60"/>
  <c r="A488" i="60"/>
  <c r="A489" i="60"/>
  <c r="A490" i="60"/>
  <c r="A491" i="60"/>
  <c r="A492" i="60"/>
  <c r="A493" i="60"/>
  <c r="A494" i="60"/>
  <c r="A495" i="60"/>
  <c r="A496" i="60"/>
  <c r="A497" i="60"/>
  <c r="A498" i="60"/>
  <c r="A499" i="60"/>
  <c r="A500" i="60"/>
  <c r="A501" i="60"/>
  <c r="A502" i="60"/>
  <c r="A503" i="60"/>
  <c r="A504" i="60"/>
  <c r="A505" i="60"/>
  <c r="A506" i="60"/>
  <c r="A507" i="60"/>
  <c r="A508" i="60"/>
  <c r="A509" i="60"/>
  <c r="A510" i="60"/>
  <c r="A511" i="60"/>
  <c r="A512" i="60"/>
  <c r="A513" i="60"/>
  <c r="A514" i="60"/>
  <c r="A515" i="60"/>
  <c r="A516" i="60"/>
  <c r="A517" i="60"/>
  <c r="A518" i="60"/>
  <c r="A519" i="60"/>
  <c r="A520" i="60"/>
  <c r="A521" i="60"/>
  <c r="A522" i="60"/>
  <c r="A523" i="60"/>
  <c r="A524" i="60"/>
  <c r="A525" i="60"/>
  <c r="A526" i="60"/>
  <c r="A527" i="60"/>
  <c r="A528" i="60"/>
  <c r="A529" i="60"/>
  <c r="A530" i="60"/>
  <c r="A531" i="60"/>
  <c r="A532" i="60"/>
  <c r="A533" i="60"/>
  <c r="A534" i="60"/>
  <c r="A535" i="60"/>
  <c r="A536" i="60"/>
  <c r="A537" i="60"/>
  <c r="A538" i="60"/>
  <c r="A539" i="60"/>
  <c r="A540" i="60"/>
  <c r="A541" i="60"/>
  <c r="A542" i="60"/>
  <c r="A543" i="60"/>
  <c r="A544" i="60"/>
  <c r="A545" i="60"/>
  <c r="A546" i="60"/>
  <c r="A547" i="60"/>
  <c r="A548" i="60"/>
  <c r="A549" i="60"/>
  <c r="A550" i="60"/>
  <c r="A551" i="60"/>
  <c r="A552" i="60"/>
  <c r="A553" i="60"/>
  <c r="A554" i="60"/>
  <c r="A555" i="60"/>
  <c r="A556" i="60"/>
  <c r="A557" i="60"/>
  <c r="A558" i="60"/>
  <c r="A559" i="60"/>
  <c r="A560" i="60"/>
  <c r="A561" i="60"/>
  <c r="A562" i="60"/>
  <c r="A563" i="60"/>
  <c r="A564" i="60"/>
  <c r="A565" i="60"/>
  <c r="A566" i="60"/>
  <c r="A567" i="60"/>
  <c r="A568" i="60"/>
  <c r="A569" i="60"/>
  <c r="A570" i="60"/>
  <c r="A571" i="60"/>
  <c r="A572" i="60"/>
  <c r="A573" i="60"/>
  <c r="A574" i="60"/>
  <c r="A575" i="60"/>
  <c r="A576" i="60"/>
  <c r="A577" i="60"/>
  <c r="A578" i="60"/>
  <c r="A579" i="60"/>
  <c r="A580" i="60"/>
  <c r="A581" i="60"/>
  <c r="A582" i="60"/>
  <c r="A583" i="60"/>
  <c r="A584" i="60"/>
  <c r="A585" i="60"/>
  <c r="A586" i="60"/>
  <c r="A587" i="60"/>
  <c r="A588" i="60"/>
  <c r="A589" i="60"/>
  <c r="A590" i="60"/>
  <c r="A591" i="60"/>
  <c r="A592" i="60"/>
  <c r="A593" i="60"/>
  <c r="A594" i="60"/>
  <c r="A595" i="60"/>
  <c r="A596" i="60"/>
  <c r="A597" i="60"/>
  <c r="A598" i="60"/>
  <c r="A599" i="60"/>
  <c r="A600" i="60"/>
  <c r="A601" i="60"/>
  <c r="A602" i="60"/>
  <c r="A603" i="60"/>
  <c r="A604" i="60"/>
  <c r="A605" i="60"/>
  <c r="A606" i="60"/>
  <c r="A607" i="60"/>
  <c r="A608" i="60"/>
  <c r="A609" i="60"/>
  <c r="A610" i="60"/>
  <c r="A611" i="60"/>
  <c r="A612" i="60"/>
  <c r="A613" i="60"/>
  <c r="A614" i="60"/>
  <c r="A615" i="60"/>
  <c r="A616" i="60"/>
  <c r="A617" i="60"/>
  <c r="A618" i="60"/>
  <c r="A619" i="60"/>
  <c r="A620" i="60"/>
  <c r="A621" i="60"/>
  <c r="A622" i="60"/>
  <c r="A623" i="60"/>
  <c r="A624" i="60"/>
  <c r="A625" i="60"/>
  <c r="A626" i="60"/>
  <c r="A627" i="60"/>
  <c r="A628" i="60"/>
  <c r="A629" i="60"/>
  <c r="A630" i="60"/>
  <c r="A631" i="60"/>
  <c r="A632" i="60"/>
  <c r="A633" i="60"/>
  <c r="A634" i="60"/>
  <c r="A635" i="60"/>
  <c r="A636" i="60"/>
  <c r="A637" i="60"/>
  <c r="A638" i="60"/>
  <c r="A639" i="60"/>
  <c r="A640" i="60"/>
  <c r="A641" i="60"/>
  <c r="A642" i="60"/>
  <c r="A643" i="60"/>
  <c r="A644" i="60"/>
  <c r="A645" i="60"/>
  <c r="A646" i="60"/>
  <c r="A647" i="60"/>
  <c r="A648" i="60"/>
  <c r="A649" i="60"/>
  <c r="A650" i="60"/>
  <c r="A651" i="60"/>
  <c r="A652" i="60"/>
  <c r="A653" i="60"/>
  <c r="A654" i="60"/>
  <c r="A655" i="60"/>
  <c r="A656" i="60"/>
  <c r="A657" i="60"/>
  <c r="A658" i="60"/>
  <c r="A659" i="60"/>
  <c r="A660" i="60"/>
  <c r="A661" i="60"/>
  <c r="A662" i="60"/>
  <c r="A663" i="60"/>
  <c r="A664" i="60"/>
  <c r="A665" i="60"/>
  <c r="A666" i="60"/>
  <c r="A667" i="60"/>
  <c r="A668" i="60"/>
  <c r="A669" i="60"/>
  <c r="A670" i="60"/>
  <c r="A671" i="60"/>
  <c r="A672" i="60"/>
  <c r="A673" i="60"/>
  <c r="A674" i="60"/>
  <c r="A675" i="60"/>
  <c r="A676" i="60"/>
  <c r="A677" i="60"/>
  <c r="A678" i="60"/>
  <c r="A679" i="60"/>
  <c r="A680" i="60"/>
  <c r="A681" i="60"/>
  <c r="A682" i="60"/>
  <c r="A683" i="60"/>
  <c r="A684" i="60"/>
  <c r="A685" i="60"/>
  <c r="A686" i="60"/>
  <c r="A687" i="60"/>
  <c r="A688" i="60"/>
  <c r="A689" i="60"/>
  <c r="A690" i="60"/>
  <c r="A691" i="60"/>
  <c r="A692" i="60"/>
  <c r="A693" i="60"/>
  <c r="A694" i="60"/>
  <c r="A695" i="60"/>
  <c r="A696" i="60"/>
  <c r="A697" i="60"/>
  <c r="A698" i="60"/>
  <c r="A699" i="60"/>
  <c r="A700" i="60"/>
  <c r="A701" i="60"/>
  <c r="A702" i="60"/>
  <c r="A703" i="60"/>
  <c r="A704" i="60"/>
  <c r="A705" i="60"/>
  <c r="A706" i="60"/>
  <c r="A707" i="60"/>
  <c r="A708" i="60"/>
  <c r="A709" i="60"/>
  <c r="A710" i="60"/>
  <c r="A711" i="60"/>
  <c r="A712" i="60"/>
  <c r="A713" i="60"/>
  <c r="A714" i="60"/>
  <c r="A715" i="60"/>
  <c r="A716" i="60"/>
  <c r="A717" i="60"/>
  <c r="A718" i="60"/>
  <c r="A719" i="60"/>
  <c r="A720" i="60"/>
  <c r="A721" i="60"/>
  <c r="A722" i="60"/>
  <c r="A723" i="60"/>
  <c r="A724" i="60"/>
  <c r="A725" i="60"/>
  <c r="A726" i="60"/>
  <c r="A727" i="60"/>
  <c r="A728" i="60"/>
  <c r="A729" i="60"/>
  <c r="A730" i="60"/>
  <c r="A731" i="60"/>
  <c r="A732" i="60"/>
  <c r="A733" i="60"/>
  <c r="A734" i="60"/>
  <c r="A735" i="60"/>
  <c r="A736" i="60"/>
  <c r="A737" i="60"/>
  <c r="A738" i="60"/>
  <c r="A739" i="60"/>
  <c r="A740" i="60"/>
  <c r="A741" i="60"/>
  <c r="A742" i="60"/>
  <c r="A743" i="60"/>
  <c r="A744" i="60"/>
  <c r="A745" i="60"/>
  <c r="A746" i="60"/>
  <c r="A747" i="60"/>
  <c r="A748" i="60"/>
  <c r="A749" i="60"/>
  <c r="A750" i="60"/>
  <c r="A751" i="60"/>
  <c r="A752" i="60"/>
  <c r="A753" i="60"/>
  <c r="A754" i="60"/>
  <c r="A755" i="60"/>
  <c r="A756" i="60"/>
  <c r="A757" i="60"/>
  <c r="A758" i="60"/>
  <c r="A759" i="60"/>
  <c r="A760" i="60"/>
  <c r="A761" i="60"/>
  <c r="A762" i="60"/>
  <c r="A763" i="60"/>
  <c r="A764" i="60"/>
  <c r="A765" i="60"/>
  <c r="A766" i="60"/>
  <c r="A767" i="60"/>
  <c r="A768" i="60"/>
  <c r="A769" i="60"/>
  <c r="A770" i="60"/>
  <c r="A771" i="60"/>
  <c r="A772" i="60"/>
  <c r="A773" i="60"/>
  <c r="A774" i="60"/>
  <c r="A775" i="60"/>
  <c r="A776" i="60"/>
  <c r="A777" i="60"/>
  <c r="A778" i="60"/>
  <c r="A779" i="60"/>
  <c r="A780" i="60"/>
  <c r="A781" i="60"/>
  <c r="A782" i="60"/>
  <c r="A783" i="60"/>
  <c r="A784" i="60"/>
  <c r="A785" i="60"/>
  <c r="A786" i="60"/>
  <c r="A787" i="60"/>
  <c r="A788" i="60"/>
  <c r="A789" i="60"/>
  <c r="A790" i="60"/>
  <c r="A791" i="60"/>
  <c r="A792" i="60"/>
  <c r="A793" i="60"/>
  <c r="A794" i="60"/>
  <c r="A795" i="60"/>
  <c r="A796" i="60"/>
  <c r="A797" i="60"/>
  <c r="A798" i="60"/>
  <c r="A799" i="60"/>
  <c r="A800" i="60"/>
  <c r="A801" i="60"/>
  <c r="A802" i="60"/>
  <c r="A803" i="60"/>
  <c r="A804" i="60"/>
  <c r="A805" i="60"/>
  <c r="A806" i="60"/>
  <c r="A807" i="60"/>
  <c r="A808" i="60"/>
  <c r="A809" i="60"/>
  <c r="A810" i="60"/>
  <c r="A811" i="60"/>
  <c r="A812" i="60"/>
  <c r="A813" i="60"/>
  <c r="A814" i="60"/>
  <c r="A815" i="60"/>
  <c r="A816" i="60"/>
  <c r="A817" i="60"/>
  <c r="A818" i="60"/>
  <c r="A819" i="60"/>
  <c r="A820" i="60"/>
  <c r="A821" i="60"/>
  <c r="A822" i="60"/>
  <c r="A823" i="60"/>
  <c r="A824" i="60"/>
  <c r="A825" i="60"/>
  <c r="A826" i="60"/>
  <c r="A827" i="60"/>
  <c r="A828" i="60"/>
  <c r="A829" i="60"/>
  <c r="A830" i="60"/>
  <c r="A831" i="60"/>
  <c r="A832" i="60"/>
  <c r="A833" i="60"/>
  <c r="A834" i="60"/>
  <c r="A835" i="60"/>
  <c r="A836" i="60"/>
  <c r="A837" i="60"/>
  <c r="A838" i="60"/>
  <c r="A839" i="60"/>
  <c r="A840" i="60"/>
  <c r="A841" i="60"/>
  <c r="A842" i="60"/>
  <c r="A843" i="60"/>
  <c r="A844" i="60"/>
  <c r="A845" i="60"/>
  <c r="A846" i="60"/>
  <c r="A847" i="60"/>
  <c r="A848" i="60"/>
  <c r="A849" i="60"/>
  <c r="A850" i="60"/>
  <c r="A851" i="60"/>
  <c r="A852" i="60"/>
  <c r="A853" i="60"/>
  <c r="A854" i="60"/>
  <c r="A855" i="60"/>
  <c r="A856" i="60"/>
  <c r="A857" i="60"/>
  <c r="A858" i="60"/>
  <c r="A859" i="60"/>
  <c r="A860" i="60"/>
  <c r="A861" i="60"/>
  <c r="A862" i="60"/>
  <c r="A863" i="60"/>
  <c r="A864" i="60"/>
  <c r="A865" i="60"/>
  <c r="A866" i="60"/>
  <c r="A867" i="60"/>
  <c r="A868" i="60"/>
  <c r="A869" i="60"/>
  <c r="A870" i="60"/>
  <c r="A871" i="60"/>
  <c r="A872" i="60"/>
  <c r="A873" i="60"/>
  <c r="A874" i="60"/>
  <c r="A875" i="60"/>
  <c r="A876" i="60"/>
  <c r="A877" i="60"/>
  <c r="A878" i="60"/>
  <c r="A879" i="60"/>
  <c r="A880" i="60"/>
  <c r="A881" i="60"/>
  <c r="A882" i="60"/>
  <c r="A883" i="60"/>
  <c r="A884" i="60"/>
  <c r="A885" i="60"/>
  <c r="A886" i="60"/>
  <c r="A887" i="60"/>
  <c r="A888" i="60"/>
  <c r="A889" i="60"/>
  <c r="A890" i="60"/>
  <c r="A891" i="60"/>
  <c r="A892" i="60"/>
  <c r="A893" i="60"/>
  <c r="A894" i="60"/>
  <c r="A895" i="60"/>
  <c r="A896" i="60"/>
  <c r="A897" i="60"/>
  <c r="A898" i="60"/>
  <c r="A899" i="60"/>
  <c r="A900" i="60"/>
  <c r="A901" i="60"/>
  <c r="A902" i="60"/>
  <c r="A903" i="60"/>
  <c r="A904" i="60"/>
  <c r="A905" i="60"/>
  <c r="A906" i="60"/>
  <c r="A907" i="60"/>
  <c r="A908" i="60"/>
  <c r="A909" i="60"/>
  <c r="A910" i="60"/>
  <c r="A911" i="60"/>
  <c r="A912" i="60"/>
  <c r="A913" i="60"/>
  <c r="A914" i="60"/>
  <c r="A915" i="60"/>
  <c r="A916" i="60"/>
  <c r="A917" i="60"/>
  <c r="A918" i="60"/>
  <c r="A919" i="60"/>
  <c r="A920" i="60"/>
  <c r="A921" i="60"/>
  <c r="A922" i="60"/>
  <c r="A923" i="60"/>
  <c r="A924" i="60"/>
  <c r="A925" i="60"/>
  <c r="A926" i="60"/>
  <c r="A927" i="60"/>
  <c r="A928" i="60"/>
  <c r="A929" i="60"/>
  <c r="A930" i="60"/>
  <c r="A931" i="60"/>
  <c r="A932" i="60"/>
  <c r="A933" i="60"/>
  <c r="A934" i="60"/>
  <c r="A935" i="60"/>
  <c r="A936" i="60"/>
  <c r="A937" i="60"/>
  <c r="A938" i="60"/>
  <c r="A939" i="60"/>
  <c r="A940" i="60"/>
  <c r="A941" i="60"/>
  <c r="A942" i="60"/>
  <c r="A943" i="60"/>
  <c r="A944" i="60"/>
  <c r="A945" i="60"/>
  <c r="A946" i="60"/>
  <c r="A947" i="60"/>
  <c r="A948" i="60"/>
  <c r="A949" i="60"/>
  <c r="A950" i="60"/>
  <c r="A951" i="60"/>
  <c r="A952" i="60"/>
  <c r="A953" i="60"/>
  <c r="A954" i="60"/>
  <c r="A955" i="60"/>
  <c r="A956" i="60"/>
  <c r="A957" i="60"/>
  <c r="A958" i="60"/>
  <c r="A959" i="60"/>
  <c r="A960" i="60"/>
  <c r="A961" i="60"/>
  <c r="A962" i="60"/>
  <c r="A963" i="60"/>
  <c r="A964" i="60"/>
  <c r="A965" i="60"/>
  <c r="A966" i="60"/>
  <c r="A967" i="60"/>
  <c r="A968" i="60"/>
  <c r="A969" i="60"/>
  <c r="A970" i="60"/>
  <c r="A971" i="60"/>
  <c r="A972" i="60"/>
  <c r="A973" i="60"/>
  <c r="A974" i="60"/>
  <c r="A975" i="60"/>
  <c r="A976" i="60"/>
  <c r="A977" i="60"/>
  <c r="A978" i="60"/>
  <c r="A979" i="60"/>
  <c r="A980" i="60"/>
  <c r="A981" i="60"/>
  <c r="A982" i="60"/>
  <c r="A983" i="60"/>
  <c r="A984" i="60"/>
  <c r="A985" i="60"/>
  <c r="A986" i="60"/>
  <c r="A987" i="60"/>
  <c r="A988" i="60"/>
  <c r="A989" i="60"/>
  <c r="A990" i="60"/>
  <c r="A991" i="60"/>
  <c r="A992" i="60"/>
  <c r="A993" i="60"/>
  <c r="A994" i="60"/>
  <c r="A995" i="60"/>
  <c r="A2" i="60"/>
  <c r="E8" i="10"/>
  <c r="E7" i="10"/>
  <c r="G18" i="59"/>
  <c r="G19" i="59"/>
  <c r="G20" i="59"/>
  <c r="G21" i="59"/>
  <c r="G22" i="59"/>
  <c r="G23" i="59"/>
  <c r="G24" i="59"/>
  <c r="G25" i="59"/>
  <c r="G26" i="59"/>
  <c r="G27" i="59"/>
  <c r="G28" i="59"/>
  <c r="G29" i="59"/>
  <c r="G30" i="59"/>
  <c r="G31" i="59"/>
  <c r="G32" i="59"/>
  <c r="G33" i="59"/>
  <c r="G34" i="59"/>
  <c r="G35" i="59"/>
  <c r="G36" i="59"/>
  <c r="G37" i="59"/>
  <c r="G38" i="59"/>
  <c r="G39" i="59"/>
  <c r="G40" i="59"/>
  <c r="G41" i="59"/>
  <c r="G42" i="59"/>
  <c r="G43" i="59"/>
  <c r="G44" i="59"/>
  <c r="G45" i="59"/>
  <c r="G46" i="59"/>
  <c r="G47" i="59"/>
  <c r="G48" i="59"/>
  <c r="G49" i="59"/>
  <c r="G50" i="59"/>
  <c r="G51" i="59"/>
  <c r="G52" i="59"/>
  <c r="G53" i="59"/>
  <c r="G54" i="59"/>
  <c r="G55" i="59"/>
  <c r="G56" i="59"/>
  <c r="G57" i="59"/>
  <c r="G58" i="59"/>
  <c r="G59" i="59"/>
  <c r="G60" i="59"/>
  <c r="G61" i="59"/>
  <c r="G62" i="59"/>
  <c r="G63" i="59"/>
  <c r="G64" i="59"/>
  <c r="G65" i="59"/>
  <c r="G66" i="59"/>
  <c r="G67" i="59"/>
  <c r="G68" i="59"/>
  <c r="G69" i="59"/>
  <c r="G70" i="59"/>
  <c r="G71" i="59"/>
  <c r="G72" i="59"/>
  <c r="G73" i="59"/>
  <c r="G74" i="59"/>
  <c r="G75" i="59"/>
  <c r="G76" i="59"/>
  <c r="G77" i="59"/>
  <c r="G78" i="59"/>
  <c r="G79" i="59"/>
  <c r="G80" i="59"/>
  <c r="G81" i="59"/>
  <c r="G82" i="59"/>
  <c r="G83" i="59"/>
  <c r="G84" i="59"/>
  <c r="G85" i="59"/>
  <c r="G86" i="59"/>
  <c r="G87" i="59"/>
  <c r="G88" i="59"/>
  <c r="G89" i="59"/>
  <c r="G90" i="59"/>
  <c r="G91" i="59"/>
  <c r="G92" i="59"/>
  <c r="G93" i="59"/>
  <c r="G94" i="59"/>
  <c r="G95" i="59"/>
  <c r="G96" i="59"/>
  <c r="G97" i="59"/>
  <c r="G98" i="59"/>
  <c r="G99" i="59"/>
  <c r="G100" i="59"/>
  <c r="G101" i="59"/>
  <c r="G102" i="59"/>
  <c r="G103" i="59"/>
  <c r="G104" i="59"/>
  <c r="G105" i="59"/>
  <c r="G106" i="59"/>
  <c r="G107" i="59"/>
  <c r="G108" i="59"/>
  <c r="G109" i="59"/>
  <c r="G110" i="59"/>
  <c r="G111" i="59"/>
  <c r="G112" i="59"/>
  <c r="G113" i="59"/>
  <c r="G114" i="59"/>
  <c r="G115" i="59"/>
  <c r="G116" i="59"/>
  <c r="G117" i="59"/>
  <c r="G118" i="59"/>
  <c r="G119" i="59"/>
  <c r="G120" i="59"/>
  <c r="G121" i="59"/>
  <c r="G122" i="59"/>
  <c r="G123" i="59"/>
  <c r="G124" i="59"/>
  <c r="G125" i="59"/>
  <c r="G126" i="59"/>
  <c r="G127" i="59"/>
  <c r="G128" i="59"/>
  <c r="G129" i="59"/>
  <c r="G130" i="59"/>
  <c r="G131" i="59"/>
  <c r="G132" i="59"/>
  <c r="G133" i="59"/>
  <c r="G134" i="59"/>
  <c r="G135" i="59"/>
  <c r="G136" i="59"/>
  <c r="G137" i="59"/>
  <c r="G138" i="59"/>
  <c r="G139" i="59"/>
  <c r="G140" i="59"/>
  <c r="G141" i="59"/>
  <c r="G142" i="59"/>
  <c r="G143" i="59"/>
  <c r="G144" i="59"/>
  <c r="G145" i="59"/>
  <c r="G146" i="59"/>
  <c r="G147" i="59"/>
  <c r="G148" i="59"/>
  <c r="G149" i="59"/>
  <c r="G150" i="59"/>
  <c r="G151" i="59"/>
  <c r="G152" i="59"/>
  <c r="G153" i="59"/>
  <c r="G154" i="59"/>
  <c r="G155" i="59"/>
  <c r="G156" i="59"/>
  <c r="G157" i="59"/>
  <c r="G158" i="59"/>
  <c r="G159" i="59"/>
  <c r="G160" i="59"/>
  <c r="G161" i="59"/>
  <c r="G162" i="59"/>
  <c r="G163" i="59"/>
  <c r="G164" i="59"/>
  <c r="G165" i="59"/>
  <c r="G166" i="59"/>
  <c r="G167" i="59"/>
  <c r="G168" i="59"/>
  <c r="G169" i="59"/>
  <c r="G170" i="59"/>
  <c r="G171" i="59"/>
  <c r="G172" i="59"/>
  <c r="G173" i="59"/>
  <c r="G174" i="59"/>
  <c r="G175" i="59"/>
  <c r="G176" i="59"/>
  <c r="G177" i="59"/>
  <c r="G178" i="59"/>
  <c r="G179" i="59"/>
  <c r="G180" i="59"/>
  <c r="G181" i="59"/>
  <c r="G182" i="59"/>
  <c r="G183" i="59"/>
  <c r="G184" i="59"/>
  <c r="G185" i="59"/>
  <c r="G186" i="59"/>
  <c r="G187" i="59"/>
  <c r="G188" i="59"/>
  <c r="G189" i="59"/>
  <c r="G190" i="59"/>
  <c r="G191" i="59"/>
  <c r="G192" i="59"/>
  <c r="G193" i="59"/>
  <c r="G194" i="59"/>
  <c r="G195" i="59"/>
  <c r="G196" i="59"/>
  <c r="G197" i="59"/>
  <c r="G198" i="59"/>
  <c r="G199" i="59"/>
  <c r="G200" i="59"/>
  <c r="G201" i="59"/>
  <c r="G202" i="59"/>
  <c r="G203" i="59"/>
  <c r="G204" i="59"/>
  <c r="G205" i="59"/>
  <c r="G206" i="59"/>
  <c r="G207" i="59"/>
  <c r="G208" i="59"/>
  <c r="G209" i="59"/>
  <c r="G210" i="59"/>
  <c r="G211" i="59"/>
  <c r="G212" i="59"/>
  <c r="G213" i="59"/>
  <c r="G214" i="59"/>
  <c r="G215" i="59"/>
  <c r="G216" i="59"/>
  <c r="G217" i="59"/>
  <c r="G218" i="59"/>
  <c r="G219" i="59"/>
  <c r="G220" i="59"/>
  <c r="G221" i="59"/>
  <c r="G222" i="59"/>
  <c r="G223" i="59"/>
  <c r="G224" i="59"/>
  <c r="G225" i="59"/>
  <c r="G226" i="59"/>
  <c r="G227" i="59"/>
  <c r="G228" i="59"/>
  <c r="G229" i="59"/>
  <c r="G230" i="59"/>
  <c r="G231" i="59"/>
  <c r="G232" i="59"/>
  <c r="G233" i="59"/>
  <c r="G234" i="59"/>
  <c r="G235" i="59"/>
  <c r="G236" i="59"/>
  <c r="G237" i="59"/>
  <c r="G238" i="59"/>
  <c r="G239" i="59"/>
  <c r="G240" i="59"/>
  <c r="G241" i="59"/>
  <c r="G242" i="59"/>
  <c r="G243" i="59"/>
  <c r="G244" i="59"/>
  <c r="G245" i="59"/>
  <c r="G246" i="59"/>
  <c r="G247" i="59"/>
  <c r="G248" i="59"/>
  <c r="G249" i="59"/>
  <c r="G250" i="59"/>
  <c r="G251" i="59"/>
  <c r="G252" i="59"/>
  <c r="G253" i="59"/>
  <c r="G254" i="59"/>
  <c r="G255" i="59"/>
  <c r="G256" i="59"/>
  <c r="G257" i="59"/>
  <c r="G258" i="59"/>
  <c r="G259" i="59"/>
  <c r="G260" i="59"/>
  <c r="G261" i="59"/>
  <c r="G262" i="59"/>
  <c r="G263" i="59"/>
  <c r="G264" i="59"/>
  <c r="G265" i="59"/>
  <c r="G266" i="59"/>
  <c r="G267" i="59"/>
  <c r="G268" i="59"/>
  <c r="G269" i="59"/>
  <c r="G270" i="59"/>
  <c r="G271" i="59"/>
  <c r="G272" i="59"/>
  <c r="G273" i="59"/>
  <c r="G274" i="59"/>
  <c r="G275" i="59"/>
  <c r="G276" i="59"/>
  <c r="G277" i="59"/>
  <c r="G278" i="59"/>
  <c r="G279" i="59"/>
  <c r="G280" i="59"/>
  <c r="G281" i="59"/>
  <c r="G282" i="59"/>
  <c r="G283" i="59"/>
  <c r="G284" i="59"/>
  <c r="G285" i="59"/>
  <c r="G286" i="59"/>
  <c r="G287" i="59"/>
  <c r="G288" i="59"/>
  <c r="G289" i="59"/>
  <c r="G290" i="59"/>
  <c r="G291" i="59"/>
  <c r="G292" i="59"/>
  <c r="G293" i="59"/>
  <c r="G294" i="59"/>
  <c r="G295" i="59"/>
  <c r="G296" i="59"/>
  <c r="G297" i="59"/>
  <c r="G298" i="59"/>
  <c r="G299" i="59"/>
  <c r="G300" i="59"/>
  <c r="G301" i="59"/>
  <c r="G302" i="59"/>
  <c r="G303" i="59"/>
  <c r="G304" i="59"/>
  <c r="G305" i="59"/>
  <c r="G306" i="59"/>
  <c r="G307" i="59"/>
  <c r="G308" i="59"/>
  <c r="G309" i="59"/>
  <c r="G310" i="59"/>
  <c r="G311" i="59"/>
  <c r="G312" i="59"/>
  <c r="G313" i="59"/>
  <c r="G314" i="59"/>
  <c r="G315" i="59"/>
  <c r="G316" i="59"/>
  <c r="G317" i="59"/>
  <c r="G318" i="59"/>
  <c r="G319" i="59"/>
  <c r="G320" i="59"/>
  <c r="G321" i="59"/>
  <c r="G322" i="59"/>
  <c r="G323" i="59"/>
  <c r="G17" i="59"/>
  <c r="A4" i="10"/>
  <c r="A14" i="59"/>
  <c r="B960" i="60" a="1"/>
  <c r="B614" i="60" a="1"/>
  <c r="B411" i="60" a="1"/>
  <c r="B736" i="60" a="1"/>
  <c r="B179" i="60" a="1"/>
  <c r="B408" i="60" a="1"/>
  <c r="B462" i="60" a="1"/>
  <c r="B417" i="60" a="1"/>
  <c r="B383" i="60" a="1"/>
  <c r="B307" i="60" a="1"/>
  <c r="B565" i="60" a="1"/>
  <c r="B893" i="60" a="1"/>
  <c r="B643" i="60" a="1"/>
  <c r="B415" i="60" a="1"/>
  <c r="B572" i="60" a="1"/>
  <c r="B364" i="60" a="1"/>
  <c r="B777" i="60" a="1"/>
  <c r="B876" i="60" a="1"/>
  <c r="B295" i="60" a="1"/>
  <c r="B892" i="60" a="1"/>
  <c r="B22" i="60" a="1"/>
  <c r="B222" i="60" a="1"/>
  <c r="B838" i="60" a="1"/>
  <c r="B414" i="60" a="1"/>
  <c r="B193" i="60" a="1"/>
  <c r="B482" i="60" a="1"/>
  <c r="B627" i="60" a="1"/>
  <c r="B580" i="60" a="1"/>
  <c r="B714" i="60" a="1"/>
  <c r="B951" i="60" a="1"/>
  <c r="B76" i="60" a="1"/>
  <c r="B778" i="60" a="1"/>
  <c r="B705" i="60" a="1"/>
  <c r="B231" i="60" a="1"/>
  <c r="B24" i="60" a="1"/>
  <c r="B104" i="60" a="1"/>
  <c r="B782" i="60" a="1"/>
  <c r="B856" i="60" a="1"/>
  <c r="B306" i="60" a="1"/>
  <c r="B548" i="60" a="1"/>
  <c r="B712" i="60" a="1"/>
  <c r="B118" i="60" a="1"/>
  <c r="B252" i="60" a="1"/>
  <c r="B577" i="60" a="1"/>
  <c r="B373" i="60" a="1"/>
  <c r="B292" i="60" a="1"/>
  <c r="B822" i="60" a="1"/>
  <c r="B335" i="60" a="1"/>
  <c r="B896" i="60" a="1"/>
  <c r="B32" i="60" a="1"/>
  <c r="B869" i="60" a="1"/>
  <c r="B110" i="60" a="1"/>
  <c r="B698" i="60" a="1"/>
  <c r="B126" i="60" a="1"/>
  <c r="B840" i="60" a="1"/>
  <c r="B789" i="60" a="1"/>
  <c r="B123" i="60" a="1"/>
  <c r="B992" i="60" a="1"/>
  <c r="B422" i="60" a="1"/>
  <c r="B93" i="60" a="1"/>
  <c r="B223" i="60" a="1"/>
  <c r="B977" i="60" a="1"/>
  <c r="B94" i="60" a="1"/>
  <c r="B40" i="60" a="1"/>
  <c r="B494" i="60" a="1"/>
  <c r="B208" i="60" a="1"/>
  <c r="B90" i="60" a="1"/>
  <c r="B766" i="60" a="1"/>
  <c r="B773" i="60" a="1"/>
  <c r="B719" i="60" a="1"/>
  <c r="B88" i="60" a="1"/>
  <c r="B541" i="60" a="1"/>
  <c r="B626" i="60" a="1"/>
  <c r="B395" i="60" a="1"/>
  <c r="B158" i="60" a="1"/>
  <c r="B879" i="60" a="1"/>
  <c r="B215" i="60" a="1"/>
  <c r="B653" i="60" a="1"/>
  <c r="B764" i="60" a="1"/>
  <c r="B99" i="60" a="1"/>
  <c r="B144" i="60" a="1"/>
  <c r="B327" i="60" a="1"/>
  <c r="B321" i="60" a="1"/>
  <c r="B550" i="60" a="1"/>
  <c r="B147" i="60" a="1"/>
  <c r="B380" i="60" a="1"/>
  <c r="B691" i="60" a="1"/>
  <c r="B658" i="60" a="1"/>
  <c r="B230" i="60" a="1"/>
  <c r="B399" i="60" a="1"/>
  <c r="B35" i="60" a="1"/>
  <c r="B29" i="60" a="1"/>
  <c r="B666" i="60" a="1"/>
  <c r="B255" i="60" a="1"/>
  <c r="B973" i="60" a="1"/>
  <c r="B68" i="60" a="1"/>
  <c r="B346" i="60" a="1"/>
  <c r="B559" i="60" a="1"/>
  <c r="B556" i="60" a="1"/>
  <c r="B618" i="60" a="1"/>
  <c r="B302" i="60" a="1"/>
  <c r="B61" i="60" a="1"/>
  <c r="B132" i="60" a="1"/>
  <c r="B316" i="60" a="1"/>
  <c r="B437" i="60" a="1"/>
  <c r="B288" i="60" a="1"/>
  <c r="B50" i="60" a="1"/>
  <c r="B584" i="60" a="1"/>
  <c r="B387" i="60" a="1"/>
  <c r="B285" i="60" a="1"/>
  <c r="B225" i="60" a="1"/>
  <c r="B825" i="60" a="1"/>
  <c r="B610" i="60" a="1"/>
  <c r="B604" i="60" a="1"/>
  <c r="B206" i="60" a="1"/>
  <c r="B362" i="60" a="1"/>
  <c r="B888" i="60" a="1"/>
  <c r="B993" i="60" a="1"/>
  <c r="B878" i="60" a="1"/>
  <c r="B877" i="60" a="1"/>
  <c r="B236" i="60" a="1"/>
  <c r="B806" i="60" a="1"/>
  <c r="B723" i="60" a="1"/>
  <c r="B275" i="60" a="1"/>
  <c r="B508" i="60" a="1"/>
  <c r="B800" i="60" a="1"/>
  <c r="B638" i="60" a="1"/>
  <c r="B611" i="60" a="1"/>
  <c r="B45" i="60" a="1"/>
  <c r="B493" i="60" a="1"/>
  <c r="B860" i="60" a="1"/>
  <c r="B551" i="60" a="1"/>
  <c r="B707" i="60" a="1"/>
  <c r="B139" i="60" a="1"/>
  <c r="B651" i="60" a="1"/>
  <c r="B682" i="60" a="1"/>
  <c r="B530" i="60" a="1"/>
  <c r="B157" i="60" a="1"/>
  <c r="B38" i="60" a="1"/>
  <c r="B528" i="60" a="1"/>
  <c r="B138" i="60" a="1"/>
  <c r="B294" i="60" a="1"/>
  <c r="B319" i="60" a="1"/>
  <c r="B128" i="60" a="1"/>
  <c r="B455" i="60" a="1"/>
  <c r="B341" i="60" a="1"/>
  <c r="B253" i="60" a="1"/>
  <c r="B427" i="60" a="1"/>
  <c r="B289" i="60" a="1"/>
  <c r="B79" i="60" a="1"/>
  <c r="B198" i="60" a="1"/>
  <c r="B312" i="60" a="1"/>
  <c r="B506" i="60" a="1"/>
  <c r="B914" i="60" a="1"/>
  <c r="B932" i="60" a="1"/>
  <c r="B874" i="60" a="1"/>
  <c r="B532" i="60" a="1"/>
  <c r="B322" i="60" a="1"/>
  <c r="B972" i="60" a="1"/>
  <c r="B734" i="60" a="1"/>
  <c r="B598" i="60" a="1"/>
  <c r="B69" i="60" a="1"/>
  <c r="B150" i="60" a="1"/>
  <c r="B60" i="60" a="1"/>
  <c r="B152" i="60" a="1"/>
  <c r="B701" i="60" a="1"/>
  <c r="B933" i="60" a="1"/>
  <c r="B767" i="60" a="1"/>
  <c r="B928" i="60" a="1"/>
  <c r="B402" i="60" a="1"/>
  <c r="B244" i="60" a="1"/>
  <c r="B990" i="60" a="1"/>
  <c r="B949" i="60" a="1"/>
  <c r="B89" i="60" a="1"/>
  <c r="B242" i="60" a="1"/>
  <c r="B813" i="60" a="1"/>
  <c r="B181" i="60" a="1"/>
  <c r="B227" i="60" a="1"/>
  <c r="B844" i="60" a="1"/>
  <c r="B30" i="60" a="1"/>
  <c r="B520" i="60" a="1"/>
  <c r="B655" i="60" a="1"/>
  <c r="B727" i="60" a="1"/>
  <c r="B702" i="60" a="1"/>
  <c r="B15" i="60" a="1"/>
  <c r="B900" i="60" a="1"/>
  <c r="B338" i="60" a="1"/>
  <c r="B485" i="60" a="1"/>
  <c r="B323" i="60" a="1"/>
  <c r="B221" i="60" a="1"/>
  <c r="B217" i="60" a="1"/>
  <c r="B537" i="60" a="1"/>
  <c r="B100" i="60" a="1"/>
  <c r="B97" i="60" a="1"/>
  <c r="B360" i="60" a="1"/>
  <c r="B639" i="60" a="1"/>
  <c r="B507" i="60" a="1"/>
  <c r="B620" i="60" a="1"/>
  <c r="B303" i="60" a="1"/>
  <c r="B57" i="60" a="1"/>
  <c r="B902" i="60" a="1"/>
  <c r="B986" i="60" a="1"/>
  <c r="B121" i="60" a="1"/>
  <c r="B265" i="60" a="1"/>
  <c r="B781" i="60" a="1"/>
  <c r="B107" i="60" a="1"/>
  <c r="B367" i="60" a="1"/>
  <c r="B432" i="60" a="1"/>
  <c r="B995" i="60" a="1"/>
  <c r="B922" i="60" a="1"/>
  <c r="B228" i="60" a="1"/>
  <c r="B438" i="60" a="1"/>
  <c r="B609" i="60" a="1"/>
  <c r="B642" i="60" a="1"/>
  <c r="B522" i="60" a="1"/>
  <c r="B293" i="60" a="1"/>
  <c r="B710" i="60" a="1"/>
  <c r="B418" i="60" a="1"/>
  <c r="B991" i="60" a="1"/>
  <c r="B461" i="60" a="1"/>
  <c r="B504" i="60" a="1"/>
  <c r="B678" i="60" a="1"/>
  <c r="B816" i="60" a="1"/>
  <c r="B871" i="60" a="1"/>
  <c r="B976" i="60" a="1"/>
  <c r="B514" i="60" a="1"/>
  <c r="B488" i="60" a="1"/>
  <c r="B790" i="60" a="1"/>
  <c r="B71" i="60" a="1"/>
  <c r="B644" i="60" a="1"/>
  <c r="B262" i="60" a="1"/>
  <c r="B983" i="60" a="1"/>
  <c r="B331" i="60" a="1"/>
  <c r="B654" i="60" a="1"/>
  <c r="B783" i="60" a="1"/>
  <c r="B299" i="60" a="1"/>
  <c r="B858" i="60" a="1"/>
  <c r="B419" i="60" a="1"/>
  <c r="B439" i="60" a="1"/>
  <c r="B340" i="60" a="1"/>
  <c r="B847" i="60" a="1"/>
  <c r="B421" i="60" a="1"/>
  <c r="B161" i="60" a="1"/>
  <c r="B10" i="60" a="1"/>
  <c r="B167" i="60" a="1"/>
  <c r="B516" i="60" a="1"/>
  <c r="B726" i="60" a="1"/>
  <c r="B634" i="60" a="1"/>
  <c r="B607" i="60" a="1"/>
  <c r="B923" i="60" a="1"/>
  <c r="B277" i="60" a="1"/>
  <c r="B828" i="60" a="1"/>
  <c r="B717" i="60" a="1"/>
  <c r="B919" i="60" a="1"/>
  <c r="B497" i="60" a="1"/>
  <c r="B861" i="60" a="1"/>
  <c r="B102" i="60" a="1"/>
  <c r="B287" i="60" a="1"/>
  <c r="B434" i="60" a="1"/>
  <c r="B832" i="60" a="1"/>
  <c r="B703" i="60" a="1"/>
  <c r="B180" i="60" a="1"/>
  <c r="B560" i="60" a="1"/>
  <c r="B700" i="60" a="1"/>
  <c r="B605" i="60" a="1"/>
  <c r="B39" i="60" a="1"/>
  <c r="B226" i="60" a="1"/>
  <c r="B616" i="60" a="1"/>
  <c r="B481" i="60" a="1"/>
  <c r="B720" i="60" a="1"/>
  <c r="B776" i="60" a="1"/>
  <c r="B555" i="60" a="1"/>
  <c r="B109" i="60" a="1"/>
  <c r="B382" i="60" a="1"/>
  <c r="B645" i="60" a="1"/>
  <c r="B648" i="60" a="1"/>
  <c r="B630" i="60" a="1"/>
  <c r="B442" i="60" a="1"/>
  <c r="B503" i="60" a="1"/>
  <c r="B677" i="60" a="1"/>
  <c r="B855" i="60" a="1"/>
  <c r="B377" i="60" a="1"/>
  <c r="B786" i="60" a="1"/>
  <c r="B772" i="60" a="1"/>
  <c r="B279" i="60" a="1"/>
  <c r="B320" i="60" a="1"/>
  <c r="B975" i="60" a="1"/>
  <c r="B519" i="60" a="1"/>
  <c r="B143" i="60" a="1"/>
  <c r="B818" i="60" a="1"/>
  <c r="B305" i="60" a="1"/>
  <c r="B156" i="60" a="1"/>
  <c r="B582" i="60" a="1"/>
  <c r="B478" i="60" a="1"/>
  <c r="B16" i="60" a="1"/>
  <c r="B290" i="60" a="1"/>
  <c r="B270" i="60" a="1"/>
  <c r="B44" i="60" a="1"/>
  <c r="B866" i="60" a="1"/>
  <c r="B81" i="60" a="1"/>
  <c r="B86" i="60" a="1"/>
  <c r="B163" i="60" a="1"/>
  <c r="B851" i="60" a="1"/>
  <c r="B899" i="60" a="1"/>
  <c r="B254" i="60" a="1"/>
  <c r="B925" i="60" a="1"/>
  <c r="B567" i="60" a="1"/>
  <c r="B649" i="60" a="1"/>
  <c r="B82" i="60" a="1"/>
  <c r="B955" i="60" a="1"/>
  <c r="B748" i="60" a="1"/>
  <c r="B547" i="60" a="1"/>
  <c r="B852" i="60" a="1"/>
  <c r="B578" i="60" a="1"/>
  <c r="B798" i="60" a="1"/>
  <c r="B440" i="60" a="1"/>
  <c r="B31" i="60" a="1"/>
  <c r="B811" i="60" a="1"/>
  <c r="B75" i="60" a="1"/>
  <c r="B77" i="60" a="1"/>
  <c r="B483" i="60" a="1"/>
  <c r="B261" i="60" a="1"/>
  <c r="B834" i="60" a="1"/>
  <c r="B27" i="60" a="1"/>
  <c r="B853" i="60" a="1"/>
  <c r="B350" i="60" a="1"/>
  <c r="B680" i="60" a="1"/>
  <c r="B517" i="60" a="1"/>
  <c r="B661" i="60" a="1"/>
  <c r="B412" i="60" a="1"/>
  <c r="B353" i="60" a="1"/>
  <c r="B675" i="60" a="1"/>
  <c r="B686" i="60" a="1"/>
  <c r="B106" i="60" a="1"/>
  <c r="B850" i="60" a="1"/>
  <c r="B58" i="60" a="1"/>
  <c r="B101" i="60" a="1"/>
  <c r="B841" i="60" a="1"/>
  <c r="B912" i="60" a="1"/>
  <c r="B688" i="60" a="1"/>
  <c r="B251" i="60" a="1"/>
  <c r="B926" i="60" a="1"/>
  <c r="B745" i="60" a="1"/>
  <c r="B358" i="60" a="1"/>
  <c r="B424" i="60" a="1"/>
  <c r="B315" i="60" a="1"/>
  <c r="B298" i="60" a="1"/>
  <c r="B581" i="60" a="1"/>
  <c r="B390" i="60" a="1"/>
  <c r="B820" i="60" a="1"/>
  <c r="B924" i="60" a="1"/>
  <c r="B103" i="60" a="1"/>
  <c r="B689" i="60" a="1"/>
  <c r="B959" i="60" a="1"/>
  <c r="B803" i="60" a="1"/>
  <c r="B913" i="60" a="1"/>
  <c r="B743" i="60" a="1"/>
  <c r="B769" i="60" a="1"/>
  <c r="B349" i="60" a="1"/>
  <c r="B466" i="60" a="1"/>
  <c r="B125" i="60" a="1"/>
  <c r="B372" i="60" a="1"/>
  <c r="B523" i="60" a="1"/>
  <c r="B622" i="60" a="1"/>
  <c r="B839" i="60" a="1"/>
  <c r="B301" i="60" a="1"/>
  <c r="B460" i="60" a="1"/>
  <c r="B458" i="60" a="1"/>
  <c r="B368" i="60" a="1"/>
  <c r="B26" i="60" a="1"/>
  <c r="B348" i="60" a="1"/>
  <c r="B600" i="60" a="1"/>
  <c r="B304" i="60" a="1"/>
  <c r="B83" i="60" a="1"/>
  <c r="B536" i="60" a="1"/>
  <c r="B942" i="60" a="1"/>
  <c r="B212" i="60" a="1"/>
  <c r="B603" i="60" a="1"/>
  <c r="B906" i="60" a="1"/>
  <c r="B935" i="60" a="1"/>
  <c r="B202" i="60" a="1"/>
  <c r="B243" i="60" a="1"/>
  <c r="B310" i="60" a="1"/>
  <c r="B186" i="60" a="1"/>
  <c r="B190" i="60" a="1"/>
  <c r="B939" i="60" a="1"/>
  <c r="B929" i="60" a="1"/>
  <c r="B741" i="60" a="1"/>
  <c r="B381" i="60" a="1"/>
  <c r="B211" i="60" a="1"/>
  <c r="B250" i="60" a="1"/>
  <c r="B586" i="60" a="1"/>
  <c r="B136" i="60" a="1"/>
  <c r="B378" i="60" a="1"/>
  <c r="B74" i="60" a="1"/>
  <c r="B413" i="60" a="1"/>
  <c r="B232" i="60" a="1"/>
  <c r="B989" i="60" a="1"/>
  <c r="B562" i="60" a="1"/>
  <c r="B330" i="60" a="1"/>
  <c r="B535" i="60" a="1"/>
  <c r="B192" i="60" a="1"/>
  <c r="B284" i="60" a="1"/>
  <c r="B214" i="60" a="1"/>
  <c r="B47" i="60" a="1"/>
  <c r="B842" i="60" a="1"/>
  <c r="B672" i="60" a="1"/>
  <c r="B885" i="60" a="1"/>
  <c r="B671" i="60" a="1"/>
  <c r="B384" i="60" a="1"/>
  <c r="B264" i="60" a="1"/>
  <c r="B970" i="60" a="1"/>
  <c r="B664" i="60" a="1"/>
  <c r="B297" i="60" a="1"/>
  <c r="B788" i="60" a="1"/>
  <c r="B501" i="60" a="1"/>
  <c r="B814" i="60" a="1"/>
  <c r="B233" i="60" a="1"/>
  <c r="B595" i="60" a="1"/>
  <c r="B793" i="60" a="1"/>
  <c r="B954" i="60" a="1"/>
  <c r="B8" i="60" a="1"/>
  <c r="B606" i="60" a="1"/>
  <c r="B521" i="60" a="1"/>
  <c r="B697" i="60" a="1"/>
  <c r="B182" i="60" a="1"/>
  <c r="B601" i="60" a="1"/>
  <c r="B25" i="60" a="1"/>
  <c r="B120" i="60" a="1"/>
  <c r="B43" i="60" a="1"/>
  <c r="B137" i="60" a="1"/>
  <c r="B898" i="60" a="1"/>
  <c r="B724" i="60" a="1"/>
  <c r="B162" i="60" a="1"/>
  <c r="B219" i="60" a="1"/>
  <c r="B988" i="60" a="1"/>
  <c r="B920" i="60" a="1"/>
  <c r="B718" i="60" a="1"/>
  <c r="B496" i="60" a="1"/>
  <c r="B354" i="60" a="1"/>
  <c r="B936" i="60" a="1"/>
  <c r="B511" i="60" a="1"/>
  <c r="B593" i="60" a="1"/>
  <c r="B864" i="60" a="1"/>
  <c r="B807" i="60" a="1"/>
  <c r="B881" i="60" a="1"/>
  <c r="B475" i="60" a="1"/>
  <c r="B950" i="60" a="1"/>
  <c r="B240" i="60" a="1"/>
  <c r="B168" i="60" a="1"/>
  <c r="B576" i="60" a="1"/>
  <c r="B142" i="60" a="1"/>
  <c r="B749" i="60" a="1"/>
  <c r="B191" i="60" a="1"/>
  <c r="B464" i="60" a="1"/>
  <c r="B187" i="60" a="1"/>
  <c r="B67" i="60" a="1"/>
  <c r="B835" i="60" a="1"/>
  <c r="B404" i="60" a="1"/>
  <c r="B979" i="60" a="1"/>
  <c r="B890" i="60" a="1"/>
  <c r="B612" i="60" a="1"/>
  <c r="B258" i="60" a="1"/>
  <c r="B342" i="60" a="1"/>
  <c r="B53" i="60" a="1"/>
  <c r="B903" i="60" a="1"/>
  <c r="B433" i="60" a="1"/>
  <c r="B130" i="60" a="1"/>
  <c r="B974" i="60" a="1"/>
  <c r="B775" i="60" a="1"/>
  <c r="B683" i="60" a="1"/>
  <c r="B333" i="60" a="1"/>
  <c r="B826" i="60" a="1"/>
  <c r="B901" i="60" a="1"/>
  <c r="B787" i="60" a="1"/>
  <c r="B176" i="60" a="1"/>
  <c r="B679" i="60" a="1"/>
  <c r="B410" i="60" a="1"/>
  <c r="B940" i="60" a="1"/>
  <c r="B542" i="60" a="1"/>
  <c r="B108" i="60" a="1"/>
  <c r="B396" i="60" a="1"/>
  <c r="B188" i="60" a="1"/>
  <c r="B465" i="60" a="1"/>
  <c r="B145" i="60" a="1"/>
  <c r="B796" i="60" a="1"/>
  <c r="B46" i="60" a="1"/>
  <c r="B484" i="60" a="1"/>
  <c r="B704" i="60" a="1"/>
  <c r="B568" i="60" a="1"/>
  <c r="B574" i="60" a="1"/>
  <c r="B596" i="60" a="1"/>
  <c r="B500" i="60" a="1"/>
  <c r="B623" i="60" a="1"/>
  <c r="B347" i="60" a="1"/>
  <c r="B459" i="60" a="1"/>
  <c r="B171" i="60" a="1"/>
  <c r="B54" i="60" a="1"/>
  <c r="B754" i="60" a="1"/>
  <c r="B160" i="60" a="1"/>
  <c r="B267" i="60" a="1"/>
  <c r="B487" i="60" a="1"/>
  <c r="B815" i="60" a="1"/>
  <c r="B916" i="60" a="1"/>
  <c r="B845" i="60" a="1"/>
  <c r="B725" i="60" a="1"/>
  <c r="B821" i="60" a="1"/>
  <c r="B657" i="60" a="1"/>
  <c r="B690" i="60" a="1"/>
  <c r="B119" i="60" a="1"/>
  <c r="B968" i="60" a="1"/>
  <c r="B201" i="60" a="1"/>
  <c r="B431" i="60" a="1"/>
  <c r="B981" i="60" a="1"/>
  <c r="B802" i="60" a="1"/>
  <c r="B235" i="60" a="1"/>
  <c r="B791" i="60" a="1"/>
  <c r="B557" i="60" a="1"/>
  <c r="B795" i="60" a="1"/>
  <c r="B747" i="60" a="1"/>
  <c r="B229" i="60" a="1"/>
  <c r="B449" i="60" a="1"/>
  <c r="B571" i="60" a="1"/>
  <c r="B72" i="60" a="1"/>
  <c r="B224" i="60" a="1"/>
  <c r="B4" i="60" a="1"/>
  <c r="B848" i="60" a="1"/>
  <c r="B23" i="60" a="1"/>
  <c r="B608" i="60" a="1"/>
  <c r="B730" i="60" a="1"/>
  <c r="B889" i="60" a="1"/>
  <c r="B755" i="60" a="1"/>
  <c r="B249" i="60" a="1"/>
  <c r="B429" i="60" a="1"/>
  <c r="B971" i="60" a="1"/>
  <c r="B345" i="60" a="1"/>
  <c r="B448" i="60" a="1"/>
  <c r="B930" i="60" a="1"/>
  <c r="B469" i="60" a="1"/>
  <c r="B375" i="60" a="1"/>
  <c r="B473" i="60" a="1"/>
  <c r="B948" i="60" a="1"/>
  <c r="B684" i="60" a="1"/>
  <c r="B361" i="60" a="1"/>
  <c r="B237" i="60" a="1"/>
  <c r="B750" i="60" a="1"/>
  <c r="B165" i="60" a="1"/>
  <c r="B670" i="60" a="1"/>
  <c r="B709" i="60" a="1"/>
  <c r="B721" i="60" a="1"/>
  <c r="B476" i="60" a="1"/>
  <c r="B544" i="60" a="1"/>
  <c r="B857" i="60" a="1"/>
  <c r="B194" i="60" a="1"/>
  <c r="B708" i="60" a="1"/>
  <c r="B540" i="60" a="1"/>
  <c r="B213" i="60" a="1"/>
  <c r="B456" i="60" a="1"/>
  <c r="B984" i="60" a="1"/>
  <c r="B37" i="60" a="1"/>
  <c r="B280" i="60" a="1"/>
  <c r="B33" i="60" a="1"/>
  <c r="B740" i="60" a="1"/>
  <c r="B420" i="60" a="1"/>
  <c r="B474" i="60" a="1"/>
  <c r="B42" i="60" a="1"/>
  <c r="B674" i="60" a="1"/>
  <c r="B958" i="60" a="1"/>
  <c r="B978" i="60" a="1"/>
  <c r="B129" i="60" a="1"/>
  <c r="B174" i="60" a="1"/>
  <c r="B963" i="60" a="1"/>
  <c r="B731" i="60" a="1"/>
  <c r="B173" i="60" a="1"/>
  <c r="B245" i="60" a="1"/>
  <c r="B398" i="60" a="1"/>
  <c r="B468" i="60" a="1"/>
  <c r="B692" i="60" a="1"/>
  <c r="B570" i="60" a="1"/>
  <c r="B566" i="60" a="1"/>
  <c r="B538" i="60" a="1"/>
  <c r="B80" i="60" a="1"/>
  <c r="B21" i="60" a="1"/>
  <c r="B199" i="60" a="1"/>
  <c r="B164" i="60" a="1"/>
  <c r="B987" i="60" a="1"/>
  <c r="B357" i="60" a="1"/>
  <c r="B589" i="60" a="1"/>
  <c r="B463" i="60" a="1"/>
  <c r="B216" i="60" a="1"/>
  <c r="B204" i="60" a="1"/>
  <c r="B426" i="60" a="1"/>
  <c r="B862" i="60" a="1"/>
  <c r="B318" i="60" a="1"/>
  <c r="B184" i="60" a="1"/>
  <c r="B491" i="60" a="1"/>
  <c r="B768" i="60" a="1"/>
  <c r="B615" i="60" a="1"/>
  <c r="B792" i="60" a="1"/>
  <c r="B127" i="60" a="1"/>
  <c r="B699" i="60" a="1"/>
  <c r="B732" i="60" a="1"/>
  <c r="B3" i="60" a="1"/>
  <c r="B447" i="60" a="1"/>
  <c r="B356" i="60" a="1"/>
  <c r="B713" i="60" a="1"/>
  <c r="B486" i="60" a="1"/>
  <c r="B62" i="60" a="1"/>
  <c r="B673" i="60" a="1"/>
  <c r="B135" i="60" a="1"/>
  <c r="B336" i="60" a="1"/>
  <c r="B808" i="60" a="1"/>
  <c r="B87" i="60" a="1"/>
  <c r="B641" i="60" a="1"/>
  <c r="B944" i="60" a="1"/>
  <c r="B652" i="60" a="1"/>
  <c r="B154" i="60" a="1"/>
  <c r="B498" i="60" a="1"/>
  <c r="B846" i="60" a="1"/>
  <c r="B256" i="60" a="1"/>
  <c r="B189" i="60" a="1"/>
  <c r="B592" i="60" a="1"/>
  <c r="B599" i="60" a="1"/>
  <c r="B594" i="60" a="1"/>
  <c r="B446" i="60" a="1"/>
  <c r="B283" i="60" a="1"/>
  <c r="B905" i="60" a="1"/>
  <c r="B248" i="60" a="1"/>
  <c r="B379" i="60" a="1"/>
  <c r="B660" i="60" a="1"/>
  <c r="B5" i="60" a="1"/>
  <c r="B676" i="60" a="1"/>
  <c r="B624" i="60" a="1"/>
  <c r="B84" i="60" a="1"/>
  <c r="B409" i="60" a="1"/>
  <c r="B646" i="60" a="1"/>
  <c r="B116" i="60" a="1"/>
  <c r="B117" i="60" a="1"/>
  <c r="B140" i="60" a="1"/>
  <c r="B515" i="60" a="1"/>
  <c r="B436" i="60" a="1"/>
  <c r="B546" i="60" a="1"/>
  <c r="B85" i="60" a="1"/>
  <c r="B272" i="60" a="1"/>
  <c r="B799" i="60" a="1"/>
  <c r="B797" i="60" a="1"/>
  <c r="B246" i="60" a="1"/>
  <c r="B55" i="60" a="1"/>
  <c r="B28" i="60" a="1"/>
  <c r="B746" i="60" a="1"/>
  <c r="B218" i="60" a="1"/>
  <c r="B823" i="60" a="1"/>
  <c r="B113" i="60" a="1"/>
  <c r="B957" i="60" a="1"/>
  <c r="B756" i="60" a="1"/>
  <c r="B966" i="60" a="1"/>
  <c r="B70" i="60" a="1"/>
  <c r="B619" i="60" a="1"/>
  <c r="B155" i="60" a="1"/>
  <c r="B20" i="60" a="1"/>
  <c r="B907" i="60" a="1"/>
  <c r="B141" i="60" a="1"/>
  <c r="B401" i="60" a="1"/>
  <c r="B196" i="60" a="1"/>
  <c r="B425" i="60" a="1"/>
  <c r="B961" i="60" a="1"/>
  <c r="B526" i="60" a="1"/>
  <c r="B343" i="60" a="1"/>
  <c r="B753" i="60" a="1"/>
  <c r="B819" i="60" a="1"/>
  <c r="B477" i="60" a="1"/>
  <c r="B553" i="60" a="1"/>
  <c r="B751" i="60" a="1"/>
  <c r="B41" i="60" a="1"/>
  <c r="B733" i="60" a="1"/>
  <c r="B14" i="60" a="1"/>
  <c r="B588" i="60" a="1"/>
  <c r="B385" i="60" a="1"/>
  <c r="B729" i="60" a="1"/>
  <c r="B34" i="60" a="1"/>
  <c r="B722" i="60" a="1"/>
  <c r="B203" i="60" a="1"/>
  <c r="B873" i="60" a="1"/>
  <c r="B18" i="60" a="1"/>
  <c r="B366" i="60" a="1"/>
  <c r="B636" i="60" a="1"/>
  <c r="B716" i="60" a="1"/>
  <c r="B759" i="60" a="1"/>
  <c r="B454" i="60" a="1"/>
  <c r="B457" i="60" a="1"/>
  <c r="B490" i="60" a="1"/>
  <c r="B397" i="60" a="1"/>
  <c r="B534" i="60" a="1"/>
  <c r="B985" i="60" a="1"/>
  <c r="B527" i="60" a="1"/>
  <c r="B131" i="60" a="1"/>
  <c r="B583" i="60" a="1"/>
  <c r="B112" i="60" a="1"/>
  <c r="B836" i="60" a="1"/>
  <c r="B843" i="60" a="1"/>
  <c r="B882" i="60" a="1"/>
  <c r="B329" i="60" a="1"/>
  <c r="B450" i="60" a="1"/>
  <c r="B313" i="60" a="1"/>
  <c r="B569" i="60" a="1"/>
  <c r="B63" i="60" a="1"/>
  <c r="B739" i="60" a="1"/>
  <c r="B314" i="60" a="1"/>
  <c r="B311" i="60" a="1"/>
  <c r="B416" i="60" a="1"/>
  <c r="B687" i="60" a="1"/>
  <c r="B435" i="60" a="1"/>
  <c r="B910" i="60" a="1"/>
  <c r="B867" i="60" a="1"/>
  <c r="B374" i="60" a="1"/>
  <c r="B927" i="60" a="1"/>
  <c r="B715" i="60" a="1"/>
  <c r="B403" i="60" a="1"/>
  <c r="B406" i="60" a="1"/>
  <c r="B794" i="60" a="1"/>
  <c r="B326" i="60" a="1"/>
  <c r="B628" i="60" a="1"/>
  <c r="B281" i="60" a="1"/>
  <c r="B921" i="60" a="1"/>
  <c r="B943" i="60" a="1"/>
  <c r="B296" i="60" a="1"/>
  <c r="B575" i="60" a="1"/>
  <c r="B752" i="60" a="1"/>
  <c r="B185" i="60" a="1"/>
  <c r="B19" i="60" a="1"/>
  <c r="B738" i="60" a="1"/>
  <c r="B365" i="60" a="1"/>
  <c r="B512" i="60" a="1"/>
  <c r="B669" i="60" a="1"/>
  <c r="B934" i="60" a="1"/>
  <c r="B274" i="60" a="1"/>
  <c r="B810" i="60" a="1"/>
  <c r="B962" i="60" a="1"/>
  <c r="B662" i="60" a="1"/>
  <c r="B445" i="60" a="1"/>
  <c r="B452" i="60" a="1"/>
  <c r="B590" i="60" a="1"/>
  <c r="B631" i="60" a="1"/>
  <c r="B785" i="60" a="1"/>
  <c r="B352" i="60" a="1"/>
  <c r="B931" i="60" a="1"/>
  <c r="B980" i="60" a="1"/>
  <c r="B210" i="60" a="1"/>
  <c r="B758" i="60" a="1"/>
  <c r="B269" i="60" a="1"/>
  <c r="B467" i="60" a="1"/>
  <c r="B656" i="60" a="1"/>
  <c r="B317" i="60" a="1"/>
  <c r="B640" i="60" a="1"/>
  <c r="B153" i="60" a="1"/>
  <c r="B659" i="60" a="1"/>
  <c r="B667" i="60" a="1"/>
  <c r="B11" i="60" a="1"/>
  <c r="B268" i="60" a="1"/>
  <c r="B363" i="60" a="1"/>
  <c r="B539" i="60" a="1"/>
  <c r="B407" i="60" a="1"/>
  <c r="B134" i="60" a="1"/>
  <c r="B332" i="60" a="1"/>
  <c r="B423" i="60" a="1"/>
  <c r="B344" i="60" a="1"/>
  <c r="B286" i="60" a="1"/>
  <c r="B114" i="60" a="1"/>
  <c r="B883" i="60" a="1"/>
  <c r="B564" i="60" a="1"/>
  <c r="B533" i="60" a="1"/>
  <c r="B668" i="60" a="1"/>
  <c r="B561" i="60" a="1"/>
  <c r="B613" i="60" a="1"/>
  <c r="B918" i="60" a="1"/>
  <c r="B351" i="60" a="1"/>
  <c r="B300" i="60" a="1"/>
  <c r="B505" i="60" a="1"/>
  <c r="B441" i="60" a="1"/>
  <c r="B694" i="60" a="1"/>
  <c r="B133" i="60" a="1"/>
  <c r="B172" i="60" a="1"/>
  <c r="B573" i="60" a="1"/>
  <c r="B166" i="60" a="1"/>
  <c r="B854" i="60" a="1"/>
  <c r="B451" i="60" a="1"/>
  <c r="B549" i="60" a="1"/>
  <c r="B633" i="60" a="1"/>
  <c r="B510" i="60" a="1"/>
  <c r="B784" i="60" a="1"/>
  <c r="B774" i="60" a="1"/>
  <c r="B220" i="60" a="1"/>
  <c r="B247" i="60" a="1"/>
  <c r="B635" i="60" a="1"/>
  <c r="B444" i="60" a="1"/>
  <c r="B6" i="60" a="1"/>
  <c r="B894" i="60" a="1"/>
  <c r="B359" i="60" a="1"/>
  <c r="B95" i="60" a="1"/>
  <c r="B122" i="60" a="1"/>
  <c r="B259" i="60" a="1"/>
  <c r="B865" i="60" a="1"/>
  <c r="B969" i="60" a="1"/>
  <c r="B376" i="60" a="1"/>
  <c r="B558" i="60" a="1"/>
  <c r="B744" i="60" a="1"/>
  <c r="B967" i="60" a="1"/>
  <c r="B805" i="60" a="1"/>
  <c r="B271" i="60" a="1"/>
  <c r="B207" i="60" a="1"/>
  <c r="B911" i="60" a="1"/>
  <c r="B502" i="60" a="1"/>
  <c r="B177" i="60" a="1"/>
  <c r="B175" i="60" a="1"/>
  <c r="B650" i="60" a="1"/>
  <c r="B386" i="60" a="1"/>
  <c r="B430" i="60" a="1"/>
  <c r="B239" i="60" a="1"/>
  <c r="B763" i="60" a="1"/>
  <c r="B96" i="60" a="1"/>
  <c r="B49" i="60" a="1"/>
  <c r="B897" i="60" a="1"/>
  <c r="B453" i="60" a="1"/>
  <c r="B263" i="60" a="1"/>
  <c r="B830" i="60" a="1"/>
  <c r="B696" i="60" a="1"/>
  <c r="B587" i="60" a="1"/>
  <c r="B884" i="60" a="1"/>
  <c r="B681" i="60" a="1"/>
  <c r="B621" i="60" a="1"/>
  <c r="B602" i="60" a="1"/>
  <c r="B159" i="60" a="1"/>
  <c r="B809" i="60" a="1"/>
  <c r="B470" i="60" a="1"/>
  <c r="B51" i="60" a="1"/>
  <c r="B829" i="60" a="1"/>
  <c r="B52" i="60" a="1"/>
  <c r="B617" i="60" a="1"/>
  <c r="B260" i="60" a="1"/>
  <c r="B17" i="60" a="1"/>
  <c r="B765" i="60" a="1"/>
  <c r="B9" i="60" a="1"/>
  <c r="B170" i="60" a="1"/>
  <c r="B632" i="60" a="1"/>
  <c r="B956" i="60" a="1"/>
  <c r="B695" i="60" a="1"/>
  <c r="B837" i="60" a="1"/>
  <c r="B780" i="60" a="1"/>
  <c r="B308" i="60" a="1"/>
  <c r="B59" i="60" a="1"/>
  <c r="B891" i="60" a="1"/>
  <c r="B443" i="60" a="1"/>
  <c r="B105" i="60" a="1"/>
  <c r="B761" i="60" a="1"/>
  <c r="B388" i="60" a="1"/>
  <c r="B195" i="60" a="1"/>
  <c r="B737" i="60" a="1"/>
  <c r="B849" i="60" a="1"/>
  <c r="B728" i="60" a="1"/>
  <c r="B915" i="60" a="1"/>
  <c r="B953" i="60" a="1"/>
  <c r="B952" i="60" a="1"/>
  <c r="B591" i="60" a="1"/>
  <c r="B693" i="60" a="1"/>
  <c r="B241" i="60" a="1"/>
  <c r="B78" i="60" a="1"/>
  <c r="B291" i="60" a="1"/>
  <c r="B36" i="60" a="1"/>
  <c r="B64" i="60" a="1"/>
  <c r="B827" i="60" a="1"/>
  <c r="B870" i="60" a="1"/>
  <c r="B908" i="60" a="1"/>
  <c r="B735" i="60" a="1"/>
  <c r="B205" i="60" a="1"/>
  <c r="B371" i="60" a="1"/>
  <c r="B65" i="60" a="1"/>
  <c r="B92" i="60" a="1"/>
  <c r="B266" i="60" a="1"/>
  <c r="B355" i="60" a="1"/>
  <c r="B552" i="60" a="1"/>
  <c r="B339" i="60" a="1"/>
  <c r="B895" i="60" a="1"/>
  <c r="B937" i="60" a="1"/>
  <c r="B480" i="60" a="1"/>
  <c r="B545" i="60" a="1"/>
  <c r="B880" i="60" a="1"/>
  <c r="B148" i="60" a="1"/>
  <c r="B760" i="60" a="1"/>
  <c r="B525" i="60" a="1"/>
  <c r="B964" i="60" a="1"/>
  <c r="B489" i="60" a="1"/>
  <c r="B146" i="60" a="1"/>
  <c r="B115" i="60" a="1"/>
  <c r="B817" i="60" a="1"/>
  <c r="B234" i="60" a="1"/>
  <c r="B909" i="60" a="1"/>
  <c r="B325" i="60" a="1"/>
  <c r="B824" i="60" a="1"/>
  <c r="B665" i="60" a="1"/>
  <c r="B151" i="60" a="1"/>
  <c r="B762" i="60" a="1"/>
  <c r="B804" i="60" a="1"/>
  <c r="B12" i="60" a="1"/>
  <c r="B334" i="60" a="1"/>
  <c r="B149" i="60" a="1"/>
  <c r="B585" i="60" a="1"/>
  <c r="B392" i="60" a="1"/>
  <c r="B868" i="60" a="1"/>
  <c r="B965" i="60" a="1"/>
  <c r="B273" i="60" a="1"/>
  <c r="B389" i="60" a="1"/>
  <c r="B663" i="60" a="1"/>
  <c r="B98" i="60" a="1"/>
  <c r="B886" i="60" a="1"/>
  <c r="B479" i="60" a="1"/>
  <c r="B637" i="60" a="1"/>
  <c r="B324" i="60" a="1"/>
  <c r="B428" i="60" a="1"/>
  <c r="B779" i="60" a="1"/>
  <c r="B833" i="60" a="1"/>
  <c r="B579" i="60" a="1"/>
  <c r="B863" i="60" a="1"/>
  <c r="B66" i="60" a="1"/>
  <c r="B625" i="60" a="1"/>
  <c r="B2" i="60" a="1"/>
  <c r="B982" i="60" a="1"/>
  <c r="B711" i="60" a="1"/>
  <c r="B178" i="60" a="1"/>
  <c r="B757" i="60" a="1"/>
  <c r="B706" i="60" a="1"/>
  <c r="B509" i="60" a="1"/>
  <c r="B770" i="60" a="1"/>
  <c r="B771" i="60" a="1"/>
  <c r="B499" i="60" a="1"/>
  <c r="B328" i="60" a="1"/>
  <c r="B7" i="60" a="1"/>
  <c r="B994" i="60" a="1"/>
  <c r="B543" i="60" a="1"/>
  <c r="B917" i="60" a="1"/>
  <c r="B111" i="60" a="1"/>
  <c r="B238" i="60" a="1"/>
  <c r="B472" i="60" a="1"/>
  <c r="B938" i="60" a="1"/>
  <c r="B197" i="60" a="1"/>
  <c r="B393" i="60" a="1"/>
  <c r="B337" i="60" a="1"/>
  <c r="B904" i="60" a="1"/>
  <c r="B209" i="60" a="1"/>
  <c r="B597" i="60" a="1"/>
  <c r="B394" i="60" a="1"/>
  <c r="B124" i="60" a="1"/>
  <c r="B278" i="60" a="1"/>
  <c r="B13" i="60" a="1"/>
  <c r="B872" i="60" a="1"/>
  <c r="B742" i="60" a="1"/>
  <c r="B629" i="60" a="1"/>
  <c r="B941" i="60" a="1"/>
  <c r="B529" i="60" a="1"/>
  <c r="B257" i="60" a="1"/>
  <c r="B946" i="60" a="1"/>
  <c r="B945" i="60" a="1"/>
  <c r="B471" i="60" a="1"/>
  <c r="B169" i="60" a="1"/>
  <c r="B183" i="60" a="1"/>
  <c r="B831" i="60" a="1"/>
  <c r="B200" i="60" a="1"/>
  <c r="B859" i="60" a="1"/>
  <c r="B947" i="60" a="1"/>
  <c r="B276" i="60" a="1"/>
  <c r="B405" i="60" a="1"/>
  <c r="B73" i="60" a="1"/>
  <c r="B282" i="60" a="1"/>
  <c r="B554" i="60" a="1"/>
  <c r="B685" i="60" a="1"/>
  <c r="B801" i="60" a="1"/>
  <c r="B524" i="60" a="1"/>
  <c r="B531" i="60" a="1"/>
  <c r="B887" i="60" a="1"/>
  <c r="B91" i="60" a="1"/>
  <c r="B563" i="60" a="1"/>
  <c r="B391" i="60" a="1"/>
  <c r="B495" i="60" a="1"/>
  <c r="B370" i="60" a="1"/>
  <c r="B647" i="60" a="1"/>
  <c r="B518" i="60" a="1"/>
  <c r="B400" i="60" a="1"/>
  <c r="B369" i="60" a="1"/>
  <c r="B812" i="60" a="1"/>
  <c r="B492" i="60" a="1"/>
  <c r="B309" i="60" a="1"/>
  <c r="B513" i="60" a="1"/>
  <c r="B48" i="60" a="1"/>
  <c r="B56" i="60" a="1"/>
  <c r="B875" i="60" a="1"/>
  <c r="B12" i="60" l="1"/>
  <c r="B58" i="60"/>
  <c r="B171" i="60"/>
  <c r="B535" i="60"/>
  <c r="B102" i="60"/>
  <c r="B220" i="60"/>
  <c r="B248" i="60"/>
  <c r="B330" i="60"/>
  <c r="B21" i="60"/>
  <c r="B44" i="60"/>
  <c r="B188" i="60"/>
  <c r="B423" i="60"/>
  <c r="B13" i="60"/>
  <c r="B131" i="60"/>
  <c r="B172" i="60"/>
  <c r="B272" i="60"/>
  <c r="B305" i="60"/>
  <c r="B31" i="60"/>
  <c r="B88" i="60"/>
  <c r="B148" i="60"/>
  <c r="B243" i="60"/>
  <c r="B314" i="60"/>
  <c r="B120" i="60"/>
  <c r="B167" i="60"/>
  <c r="B258" i="60"/>
  <c r="B764" i="60"/>
  <c r="B27" i="60"/>
  <c r="B70" i="60"/>
  <c r="B79" i="60"/>
  <c r="B94" i="60"/>
  <c r="B184" i="60"/>
  <c r="B203" i="60"/>
  <c r="B208" i="60"/>
  <c r="B230" i="60"/>
  <c r="B351" i="60"/>
  <c r="B552" i="60"/>
  <c r="B147" i="60"/>
  <c r="B212" i="60"/>
  <c r="B366" i="60"/>
  <c r="B520" i="60"/>
  <c r="B68" i="60"/>
  <c r="B176" i="60"/>
  <c r="B234" i="60"/>
  <c r="B40" i="60"/>
  <c r="B54" i="60"/>
  <c r="B92" i="60"/>
  <c r="B213" i="60"/>
  <c r="B339" i="60"/>
  <c r="B357" i="60"/>
  <c r="B388" i="60"/>
  <c r="B64" i="60"/>
  <c r="B119" i="60"/>
  <c r="B69" i="60"/>
  <c r="B83" i="60"/>
  <c r="B288" i="60"/>
  <c r="B297" i="60"/>
  <c r="B596" i="60"/>
  <c r="B60" i="60"/>
  <c r="B74" i="60"/>
  <c r="B265" i="60"/>
  <c r="B281" i="60"/>
  <c r="B114" i="60"/>
  <c r="B155" i="60"/>
  <c r="B6" i="60"/>
  <c r="B10" i="60"/>
  <c r="B23" i="60"/>
  <c r="B84" i="60"/>
  <c r="B99" i="60"/>
  <c r="B139" i="60"/>
  <c r="B179" i="60"/>
  <c r="B216" i="60"/>
  <c r="B251" i="60"/>
  <c r="B334" i="60"/>
  <c r="B372" i="60"/>
  <c r="B87" i="60"/>
  <c r="B250" i="60"/>
  <c r="B14" i="60"/>
  <c r="B37" i="60"/>
  <c r="B75" i="60"/>
  <c r="B105" i="60"/>
  <c r="B144" i="60"/>
  <c r="B542" i="60"/>
  <c r="B5" i="60"/>
  <c r="B183" i="60"/>
  <c r="B19" i="60"/>
  <c r="B42" i="60"/>
  <c r="B80" i="60"/>
  <c r="B156" i="60"/>
  <c r="B204" i="60"/>
  <c r="B244" i="60"/>
  <c r="B276" i="60"/>
  <c r="B344" i="60"/>
  <c r="B404" i="60"/>
  <c r="B601" i="60"/>
  <c r="B178" i="60"/>
  <c r="B3" i="60"/>
  <c r="B33" i="60"/>
  <c r="B47" i="60"/>
  <c r="B57" i="60"/>
  <c r="B95" i="60"/>
  <c r="B198" i="60"/>
  <c r="B231" i="60"/>
  <c r="B309" i="60"/>
  <c r="B327" i="60"/>
  <c r="B427" i="60"/>
  <c r="B143" i="60"/>
  <c r="B24" i="60"/>
  <c r="B52" i="60"/>
  <c r="B67" i="60"/>
  <c r="B71" i="60"/>
  <c r="B85" i="60"/>
  <c r="B116" i="60"/>
  <c r="B140" i="60"/>
  <c r="B151" i="60"/>
  <c r="B163" i="60"/>
  <c r="B175" i="60"/>
  <c r="B217" i="60"/>
  <c r="B239" i="60"/>
  <c r="B417" i="60"/>
  <c r="B466" i="60"/>
  <c r="B505" i="60"/>
  <c r="B602" i="60"/>
  <c r="B109" i="60"/>
  <c r="B43" i="60"/>
  <c r="B123" i="60"/>
  <c r="B146" i="60"/>
  <c r="B180" i="60"/>
  <c r="B192" i="60"/>
  <c r="B261" i="60"/>
  <c r="B302" i="60"/>
  <c r="B373" i="60"/>
  <c r="B455" i="60"/>
  <c r="B617" i="60"/>
  <c r="B708" i="60"/>
  <c r="B124" i="60"/>
  <c r="B50" i="60"/>
  <c r="B202" i="60"/>
  <c r="B7" i="60"/>
  <c r="B29" i="60"/>
  <c r="B38" i="60"/>
  <c r="B20" i="60"/>
  <c r="B135" i="60"/>
  <c r="B187" i="60"/>
  <c r="B347" i="60"/>
  <c r="B8" i="60"/>
  <c r="B73" i="60"/>
  <c r="B98" i="60"/>
  <c r="B195" i="60"/>
  <c r="B17" i="60"/>
  <c r="B4" i="60"/>
  <c r="B34" i="60"/>
  <c r="B48" i="60"/>
  <c r="B77" i="60"/>
  <c r="B81" i="60"/>
  <c r="B112" i="60"/>
  <c r="B117" i="60"/>
  <c r="B152" i="60"/>
  <c r="B205" i="60"/>
  <c r="B226" i="60"/>
  <c r="B262" i="60"/>
  <c r="B286" i="60"/>
  <c r="B321" i="60"/>
  <c r="B395" i="60"/>
  <c r="B444" i="60"/>
  <c r="B11" i="60"/>
  <c r="B41" i="60"/>
  <c r="B51" i="60"/>
  <c r="B61" i="60"/>
  <c r="B106" i="60"/>
  <c r="B128" i="60"/>
  <c r="B160" i="60"/>
  <c r="B197" i="60"/>
  <c r="B201" i="60"/>
  <c r="B282" i="60"/>
  <c r="B293" i="60"/>
  <c r="B310" i="60"/>
  <c r="B340" i="60"/>
  <c r="B359" i="60"/>
  <c r="B498" i="60"/>
  <c r="B567" i="60"/>
  <c r="B121" i="60"/>
  <c r="B137" i="60"/>
  <c r="B165" i="60"/>
  <c r="B236" i="60"/>
  <c r="B360" i="60"/>
  <c r="B382" i="60"/>
  <c r="B582" i="60"/>
  <c r="B133" i="60"/>
  <c r="B169" i="60"/>
  <c r="B218" i="60"/>
  <c r="B277" i="60"/>
  <c r="B407" i="60"/>
  <c r="B2" i="60"/>
  <c r="C2" i="60" s="1"/>
  <c r="B18" i="60"/>
  <c r="B28" i="60"/>
  <c r="B55" i="60"/>
  <c r="B65" i="60"/>
  <c r="B72" i="60"/>
  <c r="B82" i="60"/>
  <c r="B103" i="60"/>
  <c r="B110" i="60"/>
  <c r="B149" i="60"/>
  <c r="B153" i="60"/>
  <c r="B181" i="60"/>
  <c r="B185" i="60"/>
  <c r="B227" i="60"/>
  <c r="B240" i="60"/>
  <c r="B294" i="60"/>
  <c r="B389" i="60"/>
  <c r="B448" i="60"/>
  <c r="B15" i="60"/>
  <c r="B25" i="60"/>
  <c r="B35" i="60"/>
  <c r="B45" i="60"/>
  <c r="B89" i="60"/>
  <c r="B96" i="60"/>
  <c r="B107" i="60"/>
  <c r="B141" i="60"/>
  <c r="B173" i="60"/>
  <c r="B210" i="60"/>
  <c r="B289" i="60"/>
  <c r="B312" i="60"/>
  <c r="B335" i="60"/>
  <c r="B342" i="60"/>
  <c r="B361" i="60"/>
  <c r="B788" i="60"/>
  <c r="B9" i="60"/>
  <c r="B22" i="60"/>
  <c r="B32" i="60"/>
  <c r="B59" i="60"/>
  <c r="B86" i="60"/>
  <c r="B93" i="60"/>
  <c r="B100" i="60"/>
  <c r="B122" i="60"/>
  <c r="B194" i="60"/>
  <c r="B219" i="60"/>
  <c r="B273" i="60"/>
  <c r="B343" i="60"/>
  <c r="B483" i="60"/>
  <c r="B636" i="60"/>
  <c r="B39" i="60"/>
  <c r="B49" i="60"/>
  <c r="B56" i="60"/>
  <c r="B66" i="60"/>
  <c r="B76" i="60"/>
  <c r="B104" i="60"/>
  <c r="B130" i="60"/>
  <c r="B134" i="60"/>
  <c r="B138" i="60"/>
  <c r="B154" i="60"/>
  <c r="B162" i="60"/>
  <c r="B166" i="60"/>
  <c r="B170" i="60"/>
  <c r="B186" i="60"/>
  <c r="B215" i="60"/>
  <c r="B233" i="60"/>
  <c r="B237" i="60"/>
  <c r="B313" i="60"/>
  <c r="B362" i="60"/>
  <c r="B377" i="60"/>
  <c r="B401" i="60"/>
  <c r="B525" i="60"/>
  <c r="B211" i="60"/>
  <c r="B229" i="60"/>
  <c r="B269" i="60"/>
  <c r="B325" i="60"/>
  <c r="B337" i="60"/>
  <c r="B462" i="60"/>
  <c r="B561" i="60"/>
  <c r="B16" i="60"/>
  <c r="B26" i="60"/>
  <c r="B36" i="60"/>
  <c r="B53" i="60"/>
  <c r="B63" i="60"/>
  <c r="B90" i="60"/>
  <c r="B108" i="60"/>
  <c r="B115" i="60"/>
  <c r="B199" i="60"/>
  <c r="B207" i="60"/>
  <c r="B247" i="60"/>
  <c r="B280" i="60"/>
  <c r="B308" i="60"/>
  <c r="B319" i="60"/>
  <c r="B329" i="60"/>
  <c r="B356" i="60"/>
  <c r="B414" i="60"/>
  <c r="B421" i="60"/>
  <c r="B680" i="60"/>
  <c r="B733" i="60"/>
  <c r="B127" i="60"/>
  <c r="B159" i="60"/>
  <c r="B191" i="60"/>
  <c r="B223" i="60"/>
  <c r="B255" i="60"/>
  <c r="B266" i="60"/>
  <c r="B270" i="60"/>
  <c r="B298" i="60"/>
  <c r="B323" i="60"/>
  <c r="B331" i="60"/>
  <c r="B353" i="60"/>
  <c r="B363" i="60"/>
  <c r="B441" i="60"/>
  <c r="B459" i="60"/>
  <c r="B476" i="60"/>
  <c r="B491" i="60"/>
  <c r="B516" i="60"/>
  <c r="B700" i="60"/>
  <c r="B780" i="60"/>
  <c r="B897" i="60"/>
  <c r="B245" i="60"/>
  <c r="B252" i="60"/>
  <c r="B259" i="60"/>
  <c r="B315" i="60"/>
  <c r="B345" i="60"/>
  <c r="B379" i="60"/>
  <c r="B391" i="60"/>
  <c r="B577" i="60"/>
  <c r="B701" i="60"/>
  <c r="B263" i="60"/>
  <c r="B275" i="60"/>
  <c r="B279" i="60"/>
  <c r="B291" i="60"/>
  <c r="B295" i="60"/>
  <c r="B374" i="60"/>
  <c r="B405" i="60"/>
  <c r="B420" i="60"/>
  <c r="B822" i="60"/>
  <c r="B836" i="60"/>
  <c r="B249" i="60"/>
  <c r="B271" i="60"/>
  <c r="B283" i="60"/>
  <c r="B287" i="60"/>
  <c r="B324" i="60"/>
  <c r="B328" i="60"/>
  <c r="B341" i="60"/>
  <c r="B350" i="60"/>
  <c r="B369" i="60"/>
  <c r="B434" i="60"/>
  <c r="B526" i="60"/>
  <c r="B755" i="60"/>
  <c r="B224" i="60"/>
  <c r="B235" i="60"/>
  <c r="B242" i="60"/>
  <c r="B256" i="60"/>
  <c r="B320" i="60"/>
  <c r="B346" i="60"/>
  <c r="B375" i="60"/>
  <c r="B385" i="60"/>
  <c r="B558" i="60"/>
  <c r="B568" i="60"/>
  <c r="B742" i="60"/>
  <c r="B30" i="60"/>
  <c r="B46" i="60"/>
  <c r="B62" i="60"/>
  <c r="B78" i="60"/>
  <c r="B91" i="60"/>
  <c r="B101" i="60"/>
  <c r="B111" i="60"/>
  <c r="B118" i="60"/>
  <c r="B125" i="60"/>
  <c r="B132" i="60"/>
  <c r="B136" i="60"/>
  <c r="B150" i="60"/>
  <c r="B157" i="60"/>
  <c r="B164" i="60"/>
  <c r="B168" i="60"/>
  <c r="B182" i="60"/>
  <c r="B189" i="60"/>
  <c r="B196" i="60"/>
  <c r="B200" i="60"/>
  <c r="B214" i="60"/>
  <c r="B221" i="60"/>
  <c r="B228" i="60"/>
  <c r="B232" i="60"/>
  <c r="B246" i="60"/>
  <c r="B253" i="60"/>
  <c r="B260" i="60"/>
  <c r="B264" i="60"/>
  <c r="B296" i="60"/>
  <c r="B304" i="60"/>
  <c r="B666" i="60"/>
  <c r="B695" i="60"/>
  <c r="B534" i="60"/>
  <c r="B647" i="60"/>
  <c r="B724" i="60"/>
  <c r="B521" i="60"/>
  <c r="B553" i="60"/>
  <c r="B587" i="60"/>
  <c r="B622" i="60"/>
  <c r="B632" i="60"/>
  <c r="B660" i="60"/>
  <c r="B932" i="60"/>
  <c r="B961" i="60"/>
  <c r="B451" i="60"/>
  <c r="B513" i="60"/>
  <c r="B529" i="60"/>
  <c r="B538" i="60"/>
  <c r="B571" i="60"/>
  <c r="B430" i="60"/>
  <c r="B606" i="60"/>
  <c r="B671" i="60"/>
  <c r="B97" i="60"/>
  <c r="B113" i="60"/>
  <c r="B129" i="60"/>
  <c r="B145" i="60"/>
  <c r="B161" i="60"/>
  <c r="B177" i="60"/>
  <c r="B193" i="60"/>
  <c r="B209" i="60"/>
  <c r="B225" i="60"/>
  <c r="B241" i="60"/>
  <c r="B257" i="60"/>
  <c r="B267" i="60"/>
  <c r="B278" i="60"/>
  <c r="B285" i="60"/>
  <c r="B292" i="60"/>
  <c r="B299" i="60"/>
  <c r="B318" i="60"/>
  <c r="B358" i="60"/>
  <c r="B376" i="60"/>
  <c r="B398" i="60"/>
  <c r="B508" i="60"/>
  <c r="B716" i="60"/>
  <c r="B772" i="60"/>
  <c r="B126" i="60"/>
  <c r="B142" i="60"/>
  <c r="B158" i="60"/>
  <c r="B174" i="60"/>
  <c r="B190" i="60"/>
  <c r="B206" i="60"/>
  <c r="B222" i="60"/>
  <c r="B238" i="60"/>
  <c r="B254" i="60"/>
  <c r="B303" i="60"/>
  <c r="B307" i="60"/>
  <c r="B311" i="60"/>
  <c r="B326" i="60"/>
  <c r="B411" i="60"/>
  <c r="B473" i="60"/>
  <c r="B480" i="60"/>
  <c r="B487" i="60"/>
  <c r="B494" i="60"/>
  <c r="B616" i="60"/>
  <c r="B625" i="60"/>
  <c r="B643" i="60"/>
  <c r="B672" i="60"/>
  <c r="B797" i="60"/>
  <c r="B392" i="60"/>
  <c r="B408" i="60"/>
  <c r="B424" i="60"/>
  <c r="B438" i="60"/>
  <c r="B445" i="60"/>
  <c r="B452" i="60"/>
  <c r="B470" i="60"/>
  <c r="B477" i="60"/>
  <c r="B484" i="60"/>
  <c r="B502" i="60"/>
  <c r="B509" i="60"/>
  <c r="B522" i="60"/>
  <c r="B539" i="60"/>
  <c r="B548" i="60"/>
  <c r="B583" i="60"/>
  <c r="B612" i="60"/>
  <c r="B627" i="60"/>
  <c r="B649" i="60"/>
  <c r="B274" i="60"/>
  <c r="B290" i="60"/>
  <c r="B306" i="60"/>
  <c r="B322" i="60"/>
  <c r="B338" i="60"/>
  <c r="B354" i="60"/>
  <c r="B370" i="60"/>
  <c r="B386" i="60"/>
  <c r="B402" i="60"/>
  <c r="B418" i="60"/>
  <c r="B442" i="60"/>
  <c r="B449" i="60"/>
  <c r="B456" i="60"/>
  <c r="B474" i="60"/>
  <c r="B481" i="60"/>
  <c r="B488" i="60"/>
  <c r="B506" i="60"/>
  <c r="B554" i="60"/>
  <c r="B598" i="60"/>
  <c r="B618" i="60"/>
  <c r="B628" i="60"/>
  <c r="B650" i="60"/>
  <c r="B655" i="60"/>
  <c r="B367" i="60"/>
  <c r="B383" i="60"/>
  <c r="B399" i="60"/>
  <c r="B415" i="60"/>
  <c r="B428" i="60"/>
  <c r="B435" i="60"/>
  <c r="B460" i="60"/>
  <c r="B467" i="60"/>
  <c r="B492" i="60"/>
  <c r="B499" i="60"/>
  <c r="B518" i="60"/>
  <c r="B540" i="60"/>
  <c r="B569" i="60"/>
  <c r="B593" i="60"/>
  <c r="B603" i="60"/>
  <c r="B639" i="60"/>
  <c r="B662" i="60"/>
  <c r="B682" i="60"/>
  <c r="B759" i="60"/>
  <c r="B268" i="60"/>
  <c r="B284" i="60"/>
  <c r="B300" i="60"/>
  <c r="B316" i="60"/>
  <c r="B332" i="60"/>
  <c r="B348" i="60"/>
  <c r="B364" i="60"/>
  <c r="B380" i="60"/>
  <c r="B396" i="60"/>
  <c r="B412" i="60"/>
  <c r="B564" i="60"/>
  <c r="B599" i="60"/>
  <c r="B645" i="60"/>
  <c r="B656" i="60"/>
  <c r="B720" i="60"/>
  <c r="B729" i="60"/>
  <c r="B784" i="60"/>
  <c r="B793" i="60"/>
  <c r="B817" i="60"/>
  <c r="B393" i="60"/>
  <c r="B409" i="60"/>
  <c r="B425" i="60"/>
  <c r="B432" i="60"/>
  <c r="B439" i="60"/>
  <c r="B446" i="60"/>
  <c r="B457" i="60"/>
  <c r="B464" i="60"/>
  <c r="B471" i="60"/>
  <c r="B478" i="60"/>
  <c r="B489" i="60"/>
  <c r="B496" i="60"/>
  <c r="B503" i="60"/>
  <c r="B510" i="60"/>
  <c r="B523" i="60"/>
  <c r="B574" i="60"/>
  <c r="B584" i="60"/>
  <c r="B852" i="60"/>
  <c r="B888" i="60"/>
  <c r="B390" i="60"/>
  <c r="B406" i="60"/>
  <c r="B422" i="60"/>
  <c r="B519" i="60"/>
  <c r="B536" i="60"/>
  <c r="B545" i="60"/>
  <c r="B550" i="60"/>
  <c r="B570" i="60"/>
  <c r="B614" i="60"/>
  <c r="B629" i="60"/>
  <c r="B704" i="60"/>
  <c r="B712" i="60"/>
  <c r="B737" i="60"/>
  <c r="B768" i="60"/>
  <c r="B776" i="60"/>
  <c r="B355" i="60"/>
  <c r="B371" i="60"/>
  <c r="B387" i="60"/>
  <c r="B403" i="60"/>
  <c r="B419" i="60"/>
  <c r="B443" i="60"/>
  <c r="B450" i="60"/>
  <c r="B475" i="60"/>
  <c r="B482" i="60"/>
  <c r="B507" i="60"/>
  <c r="B555" i="60"/>
  <c r="B585" i="60"/>
  <c r="B609" i="60"/>
  <c r="B619" i="60"/>
  <c r="B657" i="60"/>
  <c r="B336" i="60"/>
  <c r="B352" i="60"/>
  <c r="B368" i="60"/>
  <c r="B384" i="60"/>
  <c r="B400" i="60"/>
  <c r="B416" i="60"/>
  <c r="B429" i="60"/>
  <c r="B436" i="60"/>
  <c r="B454" i="60"/>
  <c r="B461" i="60"/>
  <c r="B468" i="60"/>
  <c r="B486" i="60"/>
  <c r="B493" i="60"/>
  <c r="B500" i="60"/>
  <c r="B524" i="60"/>
  <c r="B532" i="60"/>
  <c r="B537" i="60"/>
  <c r="B551" i="60"/>
  <c r="B580" i="60"/>
  <c r="B615" i="60"/>
  <c r="B691" i="60"/>
  <c r="B713" i="60"/>
  <c r="B746" i="60"/>
  <c r="B777" i="60"/>
  <c r="B904" i="60"/>
  <c r="B916" i="60"/>
  <c r="B301" i="60"/>
  <c r="B317" i="60"/>
  <c r="B333" i="60"/>
  <c r="B349" i="60"/>
  <c r="B365" i="60"/>
  <c r="B381" i="60"/>
  <c r="B397" i="60"/>
  <c r="B413" i="60"/>
  <c r="B590" i="60"/>
  <c r="B600" i="60"/>
  <c r="B641" i="60"/>
  <c r="B664" i="60"/>
  <c r="B678" i="60"/>
  <c r="B794" i="60"/>
  <c r="B803" i="60"/>
  <c r="B812" i="60"/>
  <c r="B968" i="60"/>
  <c r="B378" i="60"/>
  <c r="B394" i="60"/>
  <c r="B410" i="60"/>
  <c r="B426" i="60"/>
  <c r="B433" i="60"/>
  <c r="B440" i="60"/>
  <c r="B458" i="60"/>
  <c r="B465" i="60"/>
  <c r="B472" i="60"/>
  <c r="B490" i="60"/>
  <c r="B497" i="60"/>
  <c r="B504" i="60"/>
  <c r="B566" i="60"/>
  <c r="B586" i="60"/>
  <c r="B707" i="60"/>
  <c r="B771" i="60"/>
  <c r="B868" i="60"/>
  <c r="B673" i="60"/>
  <c r="B711" i="60"/>
  <c r="B728" i="60"/>
  <c r="B775" i="60"/>
  <c r="B842" i="60"/>
  <c r="B913" i="60"/>
  <c r="B977" i="60"/>
  <c r="B952" i="60"/>
  <c r="B980" i="60"/>
  <c r="B437" i="60"/>
  <c r="B453" i="60"/>
  <c r="B469" i="60"/>
  <c r="B485" i="60"/>
  <c r="B501" i="60"/>
  <c r="B517" i="60"/>
  <c r="B533" i="60"/>
  <c r="B549" i="60"/>
  <c r="B565" i="60"/>
  <c r="B581" i="60"/>
  <c r="B597" i="60"/>
  <c r="B613" i="60"/>
  <c r="B626" i="60"/>
  <c r="B640" i="60"/>
  <c r="B659" i="60"/>
  <c r="B663" i="60"/>
  <c r="B675" i="60"/>
  <c r="B679" i="60"/>
  <c r="B717" i="60"/>
  <c r="B721" i="60"/>
  <c r="B726" i="60"/>
  <c r="B730" i="60"/>
  <c r="B781" i="60"/>
  <c r="B785" i="60"/>
  <c r="B790" i="60"/>
  <c r="B808" i="60"/>
  <c r="B514" i="60"/>
  <c r="B530" i="60"/>
  <c r="B546" i="60"/>
  <c r="B562" i="60"/>
  <c r="B578" i="60"/>
  <c r="B594" i="60"/>
  <c r="B610" i="60"/>
  <c r="B633" i="60"/>
  <c r="B644" i="60"/>
  <c r="B648" i="60"/>
  <c r="B696" i="60"/>
  <c r="B743" i="60"/>
  <c r="B760" i="60"/>
  <c r="B881" i="60"/>
  <c r="B945" i="60"/>
  <c r="B431" i="60"/>
  <c r="B447" i="60"/>
  <c r="B463" i="60"/>
  <c r="B479" i="60"/>
  <c r="B495" i="60"/>
  <c r="B511" i="60"/>
  <c r="B527" i="60"/>
  <c r="B543" i="60"/>
  <c r="B559" i="60"/>
  <c r="B575" i="60"/>
  <c r="B591" i="60"/>
  <c r="B607" i="60"/>
  <c r="B623" i="60"/>
  <c r="B652" i="60"/>
  <c r="B739" i="60"/>
  <c r="B809" i="60"/>
  <c r="B813" i="60"/>
  <c r="B872" i="60"/>
  <c r="B900" i="60"/>
  <c r="B936" i="60"/>
  <c r="B964" i="60"/>
  <c r="B556" i="60"/>
  <c r="B572" i="60"/>
  <c r="B588" i="60"/>
  <c r="B604" i="60"/>
  <c r="B620" i="60"/>
  <c r="B630" i="60"/>
  <c r="B637" i="60"/>
  <c r="B668" i="60"/>
  <c r="B684" i="60"/>
  <c r="B688" i="60"/>
  <c r="B692" i="60"/>
  <c r="B697" i="60"/>
  <c r="B748" i="60"/>
  <c r="B752" i="60"/>
  <c r="B756" i="60"/>
  <c r="B761" i="60"/>
  <c r="B804" i="60"/>
  <c r="B824" i="60"/>
  <c r="B705" i="60"/>
  <c r="B710" i="60"/>
  <c r="B714" i="60"/>
  <c r="B765" i="60"/>
  <c r="B769" i="60"/>
  <c r="B774" i="60"/>
  <c r="B778" i="60"/>
  <c r="B800" i="60"/>
  <c r="B676" i="60"/>
  <c r="B727" i="60"/>
  <c r="B744" i="60"/>
  <c r="B796" i="60"/>
  <c r="B865" i="60"/>
  <c r="B929" i="60"/>
  <c r="B993" i="60"/>
  <c r="B515" i="60"/>
  <c r="B531" i="60"/>
  <c r="B547" i="60"/>
  <c r="B563" i="60"/>
  <c r="B579" i="60"/>
  <c r="B595" i="60"/>
  <c r="B611" i="60"/>
  <c r="B634" i="60"/>
  <c r="B723" i="60"/>
  <c r="B787" i="60"/>
  <c r="B840" i="60"/>
  <c r="B856" i="60"/>
  <c r="B884" i="60"/>
  <c r="B920" i="60"/>
  <c r="B948" i="60"/>
  <c r="B984" i="60"/>
  <c r="B512" i="60"/>
  <c r="B528" i="60"/>
  <c r="B544" i="60"/>
  <c r="B560" i="60"/>
  <c r="B576" i="60"/>
  <c r="B592" i="60"/>
  <c r="B608" i="60"/>
  <c r="B624" i="60"/>
  <c r="B653" i="60"/>
  <c r="B665" i="60"/>
  <c r="B681" i="60"/>
  <c r="B732" i="60"/>
  <c r="B736" i="60"/>
  <c r="B740" i="60"/>
  <c r="B745" i="60"/>
  <c r="B810" i="60"/>
  <c r="B826" i="60"/>
  <c r="B541" i="60"/>
  <c r="B557" i="60"/>
  <c r="B573" i="60"/>
  <c r="B589" i="60"/>
  <c r="B605" i="60"/>
  <c r="B621" i="60"/>
  <c r="B631" i="60"/>
  <c r="B646" i="60"/>
  <c r="B669" i="60"/>
  <c r="B685" i="60"/>
  <c r="B689" i="60"/>
  <c r="B694" i="60"/>
  <c r="B698" i="60"/>
  <c r="B749" i="60"/>
  <c r="B753" i="60"/>
  <c r="B758" i="60"/>
  <c r="B762" i="60"/>
  <c r="B792" i="60"/>
  <c r="B801" i="60"/>
  <c r="B806" i="60"/>
  <c r="B820" i="60"/>
  <c r="B833" i="60"/>
  <c r="B849" i="60"/>
  <c r="B791" i="60"/>
  <c r="B807" i="60"/>
  <c r="B823" i="60"/>
  <c r="B839" i="60"/>
  <c r="B855" i="60"/>
  <c r="B871" i="60"/>
  <c r="B887" i="60"/>
  <c r="B903" i="60"/>
  <c r="B919" i="60"/>
  <c r="B935" i="60"/>
  <c r="B951" i="60"/>
  <c r="B967" i="60"/>
  <c r="B983" i="60"/>
  <c r="B638" i="60"/>
  <c r="B654" i="60"/>
  <c r="B670" i="60"/>
  <c r="B686" i="60"/>
  <c r="B702" i="60"/>
  <c r="B718" i="60"/>
  <c r="B734" i="60"/>
  <c r="B750" i="60"/>
  <c r="B766" i="60"/>
  <c r="B782" i="60"/>
  <c r="B798" i="60"/>
  <c r="B814" i="60"/>
  <c r="B830" i="60"/>
  <c r="B846" i="60"/>
  <c r="B862" i="60"/>
  <c r="B878" i="60"/>
  <c r="B894" i="60"/>
  <c r="B910" i="60"/>
  <c r="B926" i="60"/>
  <c r="B942" i="60"/>
  <c r="B958" i="60"/>
  <c r="B974" i="60"/>
  <c r="B990" i="60"/>
  <c r="B635" i="60"/>
  <c r="B651" i="60"/>
  <c r="B667" i="60"/>
  <c r="B683" i="60"/>
  <c r="B699" i="60"/>
  <c r="B715" i="60"/>
  <c r="B731" i="60"/>
  <c r="B747" i="60"/>
  <c r="B763" i="60"/>
  <c r="B779" i="60"/>
  <c r="B795" i="60"/>
  <c r="B811" i="60"/>
  <c r="B827" i="60"/>
  <c r="B843" i="60"/>
  <c r="B859" i="60"/>
  <c r="B875" i="60"/>
  <c r="B891" i="60"/>
  <c r="B907" i="60"/>
  <c r="B923" i="60"/>
  <c r="B939" i="60"/>
  <c r="B955" i="60"/>
  <c r="B971" i="60"/>
  <c r="B987" i="60"/>
  <c r="B661" i="60"/>
  <c r="B677" i="60"/>
  <c r="B693" i="60"/>
  <c r="B709" i="60"/>
  <c r="B725" i="60"/>
  <c r="B741" i="60"/>
  <c r="B757" i="60"/>
  <c r="B773" i="60"/>
  <c r="B789" i="60"/>
  <c r="B805" i="60"/>
  <c r="B821" i="60"/>
  <c r="B837" i="60"/>
  <c r="B853" i="60"/>
  <c r="B869" i="60"/>
  <c r="B885" i="60"/>
  <c r="B901" i="60"/>
  <c r="B917" i="60"/>
  <c r="B933" i="60"/>
  <c r="B949" i="60"/>
  <c r="B965" i="60"/>
  <c r="B981" i="60"/>
  <c r="B642" i="60"/>
  <c r="B658" i="60"/>
  <c r="B674" i="60"/>
  <c r="B690" i="60"/>
  <c r="B706" i="60"/>
  <c r="B722" i="60"/>
  <c r="B738" i="60"/>
  <c r="B754" i="60"/>
  <c r="B770" i="60"/>
  <c r="B786" i="60"/>
  <c r="B802" i="60"/>
  <c r="B818" i="60"/>
  <c r="B834" i="60"/>
  <c r="B850" i="60"/>
  <c r="B866" i="60"/>
  <c r="B882" i="60"/>
  <c r="B898" i="60"/>
  <c r="B914" i="60"/>
  <c r="B930" i="60"/>
  <c r="B946" i="60"/>
  <c r="B962" i="60"/>
  <c r="B978" i="60"/>
  <c r="B994" i="60"/>
  <c r="B687" i="60"/>
  <c r="B703" i="60"/>
  <c r="B719" i="60"/>
  <c r="B735" i="60"/>
  <c r="B751" i="60"/>
  <c r="B767" i="60"/>
  <c r="B783" i="60"/>
  <c r="B799" i="60"/>
  <c r="B815" i="60"/>
  <c r="B831" i="60"/>
  <c r="B847" i="60"/>
  <c r="B863" i="60"/>
  <c r="B879" i="60"/>
  <c r="B895" i="60"/>
  <c r="B911" i="60"/>
  <c r="B927" i="60"/>
  <c r="B943" i="60"/>
  <c r="B959" i="60"/>
  <c r="B975" i="60"/>
  <c r="B991" i="60"/>
  <c r="B828" i="60"/>
  <c r="B844" i="60"/>
  <c r="B860" i="60"/>
  <c r="B876" i="60"/>
  <c r="B892" i="60"/>
  <c r="B908" i="60"/>
  <c r="B924" i="60"/>
  <c r="B940" i="60"/>
  <c r="B956" i="60"/>
  <c r="B972" i="60"/>
  <c r="B988" i="60"/>
  <c r="B825" i="60"/>
  <c r="B841" i="60"/>
  <c r="B857" i="60"/>
  <c r="B873" i="60"/>
  <c r="B889" i="60"/>
  <c r="B905" i="60"/>
  <c r="B921" i="60"/>
  <c r="B937" i="60"/>
  <c r="B953" i="60"/>
  <c r="B969" i="60"/>
  <c r="B985" i="60"/>
  <c r="B838" i="60"/>
  <c r="B854" i="60"/>
  <c r="B870" i="60"/>
  <c r="B886" i="60"/>
  <c r="B902" i="60"/>
  <c r="B918" i="60"/>
  <c r="B934" i="60"/>
  <c r="B950" i="60"/>
  <c r="B966" i="60"/>
  <c r="B982" i="60"/>
  <c r="B819" i="60"/>
  <c r="B835" i="60"/>
  <c r="B851" i="60"/>
  <c r="B867" i="60"/>
  <c r="B883" i="60"/>
  <c r="B899" i="60"/>
  <c r="B915" i="60"/>
  <c r="B931" i="60"/>
  <c r="B947" i="60"/>
  <c r="B963" i="60"/>
  <c r="B979" i="60"/>
  <c r="B995" i="60"/>
  <c r="B816" i="60"/>
  <c r="B832" i="60"/>
  <c r="B848" i="60"/>
  <c r="B864" i="60"/>
  <c r="B880" i="60"/>
  <c r="B896" i="60"/>
  <c r="B912" i="60"/>
  <c r="B928" i="60"/>
  <c r="B944" i="60"/>
  <c r="B960" i="60"/>
  <c r="B976" i="60"/>
  <c r="B992" i="60"/>
  <c r="B829" i="60"/>
  <c r="B845" i="60"/>
  <c r="B861" i="60"/>
  <c r="B877" i="60"/>
  <c r="B893" i="60"/>
  <c r="B909" i="60"/>
  <c r="B925" i="60"/>
  <c r="B941" i="60"/>
  <c r="B957" i="60"/>
  <c r="B973" i="60"/>
  <c r="B989" i="60"/>
  <c r="B858" i="60"/>
  <c r="B874" i="60"/>
  <c r="B890" i="60"/>
  <c r="B906" i="60"/>
  <c r="B922" i="60"/>
  <c r="B938" i="60"/>
  <c r="B954" i="60"/>
  <c r="B970" i="60"/>
  <c r="B986" i="60"/>
  <c r="A62" i="59" a="1"/>
  <c r="A62" i="59" s="1"/>
  <c r="B62" i="59" a="1"/>
  <c r="B62" i="59" s="1"/>
  <c r="C62" i="59" a="1"/>
  <c r="C62" i="59" s="1"/>
  <c r="A18" i="59" a="1"/>
  <c r="A18" i="59" s="1"/>
  <c r="A19" i="59" a="1"/>
  <c r="A19" i="59" s="1"/>
  <c r="A20" i="59" a="1"/>
  <c r="A20" i="59" s="1"/>
  <c r="A21" i="59" a="1"/>
  <c r="A21" i="59" s="1"/>
  <c r="A22" i="59" a="1"/>
  <c r="A22" i="59" s="1"/>
  <c r="A23" i="59" a="1"/>
  <c r="A23" i="59" s="1"/>
  <c r="A24" i="59" a="1"/>
  <c r="A24" i="59" s="1"/>
  <c r="A25" i="59" a="1"/>
  <c r="A25" i="59" s="1"/>
  <c r="A26" i="59" a="1"/>
  <c r="A26" i="59" s="1"/>
  <c r="A27" i="59" a="1"/>
  <c r="A27" i="59" s="1"/>
  <c r="A28" i="59" a="1"/>
  <c r="A28" i="59" s="1"/>
  <c r="A29" i="59" a="1"/>
  <c r="A29" i="59" s="1"/>
  <c r="A30" i="59" a="1"/>
  <c r="A30" i="59" s="1"/>
  <c r="A31" i="59" a="1"/>
  <c r="A31" i="59" s="1"/>
  <c r="A32" i="59" a="1"/>
  <c r="A32" i="59" s="1"/>
  <c r="A33" i="59" a="1"/>
  <c r="A33" i="59" s="1"/>
  <c r="A34" i="59" a="1"/>
  <c r="A34" i="59" s="1"/>
  <c r="A35" i="59" a="1"/>
  <c r="A35" i="59" s="1"/>
  <c r="A36" i="59" a="1"/>
  <c r="A36" i="59" s="1"/>
  <c r="A37" i="59" a="1"/>
  <c r="A37" i="59" s="1"/>
  <c r="A38" i="59" a="1"/>
  <c r="A38" i="59" s="1"/>
  <c r="A39" i="59" a="1"/>
  <c r="A39" i="59" s="1"/>
  <c r="A40" i="59" a="1"/>
  <c r="A40" i="59" s="1"/>
  <c r="A41" i="59" a="1"/>
  <c r="A41" i="59" s="1"/>
  <c r="A42" i="59" a="1"/>
  <c r="A42" i="59" s="1"/>
  <c r="A43" i="59" a="1"/>
  <c r="A43" i="59" s="1"/>
  <c r="A44" i="59" a="1"/>
  <c r="A44" i="59" s="1"/>
  <c r="A45" i="59" a="1"/>
  <c r="A45" i="59" s="1"/>
  <c r="A46" i="59" a="1"/>
  <c r="A46" i="59" s="1"/>
  <c r="A47" i="59" a="1"/>
  <c r="A47" i="59" s="1"/>
  <c r="A48" i="59" a="1"/>
  <c r="A48" i="59" s="1"/>
  <c r="A49" i="59" a="1"/>
  <c r="A49" i="59" s="1"/>
  <c r="A50" i="59" a="1"/>
  <c r="A50" i="59" s="1"/>
  <c r="A51" i="59" a="1"/>
  <c r="A51" i="59" s="1"/>
  <c r="A52" i="59" a="1"/>
  <c r="A52" i="59" s="1"/>
  <c r="A53" i="59" a="1"/>
  <c r="A53" i="59" s="1"/>
  <c r="A54" i="59" a="1"/>
  <c r="A54" i="59" s="1"/>
  <c r="A55" i="59" a="1"/>
  <c r="A55" i="59" s="1"/>
  <c r="A56" i="59" a="1"/>
  <c r="A56" i="59" s="1"/>
  <c r="A57" i="59" a="1"/>
  <c r="A57" i="59" s="1"/>
  <c r="A58" i="59" a="1"/>
  <c r="A58" i="59" s="1"/>
  <c r="A59" i="59" a="1"/>
  <c r="A59" i="59" s="1"/>
  <c r="A60" i="59" a="1"/>
  <c r="A60" i="59" s="1"/>
  <c r="A61" i="59" a="1"/>
  <c r="A61" i="59" s="1"/>
  <c r="A63" i="59" a="1"/>
  <c r="A63" i="59" s="1"/>
  <c r="A64" i="59" a="1"/>
  <c r="A64" i="59" s="1"/>
  <c r="A65" i="59" a="1"/>
  <c r="A65" i="59" s="1"/>
  <c r="A66" i="59" a="1"/>
  <c r="A66" i="59" s="1"/>
  <c r="A67" i="59" a="1"/>
  <c r="A67" i="59" s="1"/>
  <c r="A68" i="59" a="1"/>
  <c r="A68" i="59" s="1"/>
  <c r="A69" i="59" a="1"/>
  <c r="A69" i="59" s="1"/>
  <c r="A70" i="59" a="1"/>
  <c r="A70" i="59" s="1"/>
  <c r="A71" i="59" a="1"/>
  <c r="A71" i="59" s="1"/>
  <c r="A72" i="59" a="1"/>
  <c r="A72" i="59" s="1"/>
  <c r="A73" i="59" a="1"/>
  <c r="A73" i="59" s="1"/>
  <c r="A74" i="59" a="1"/>
  <c r="A74" i="59" s="1"/>
  <c r="A75" i="59" a="1"/>
  <c r="A75" i="59" s="1"/>
  <c r="A76" i="59" a="1"/>
  <c r="A76" i="59" s="1"/>
  <c r="A77" i="59" a="1"/>
  <c r="A77" i="59" s="1"/>
  <c r="A78" i="59" a="1"/>
  <c r="A78" i="59" s="1"/>
  <c r="A79" i="59" a="1"/>
  <c r="A79" i="59" s="1"/>
  <c r="A80" i="59" a="1"/>
  <c r="A80" i="59" s="1"/>
  <c r="A81" i="59" a="1"/>
  <c r="A81" i="59" s="1"/>
  <c r="A82" i="59" a="1"/>
  <c r="A82" i="59" s="1"/>
  <c r="A83" i="59" a="1"/>
  <c r="A83" i="59" s="1"/>
  <c r="A84" i="59" a="1"/>
  <c r="A84" i="59" s="1"/>
  <c r="A85" i="59" a="1"/>
  <c r="A85" i="59" s="1"/>
  <c r="A86" i="59" a="1"/>
  <c r="A86" i="59" s="1"/>
  <c r="A87" i="59" a="1"/>
  <c r="A87" i="59" s="1"/>
  <c r="A88" i="59" a="1"/>
  <c r="A88" i="59" s="1"/>
  <c r="A89" i="59" a="1"/>
  <c r="A89" i="59" s="1"/>
  <c r="A90" i="59" a="1"/>
  <c r="A90" i="59" s="1"/>
  <c r="A91" i="59" a="1"/>
  <c r="A91" i="59" s="1"/>
  <c r="A92" i="59" a="1"/>
  <c r="A92" i="59" s="1"/>
  <c r="A93" i="59" a="1"/>
  <c r="A93" i="59" s="1"/>
  <c r="A94" i="59" a="1"/>
  <c r="A94" i="59" s="1"/>
  <c r="A95" i="59" a="1"/>
  <c r="A95" i="59" s="1"/>
  <c r="A96" i="59" a="1"/>
  <c r="A96" i="59" s="1"/>
  <c r="A97" i="59" a="1"/>
  <c r="A97" i="59" s="1"/>
  <c r="A98" i="59" a="1"/>
  <c r="A98" i="59" s="1"/>
  <c r="A99" i="59" a="1"/>
  <c r="A99" i="59" s="1"/>
  <c r="A100" i="59" a="1"/>
  <c r="A100" i="59" s="1"/>
  <c r="A101" i="59" a="1"/>
  <c r="A101" i="59" s="1"/>
  <c r="A102" i="59" a="1"/>
  <c r="A102" i="59" s="1"/>
  <c r="A103" i="59" a="1"/>
  <c r="A103" i="59" s="1"/>
  <c r="A104" i="59" a="1"/>
  <c r="A104" i="59" s="1"/>
  <c r="A105" i="59" a="1"/>
  <c r="A105" i="59" s="1"/>
  <c r="A106" i="59" a="1"/>
  <c r="A106" i="59" s="1"/>
  <c r="A107" i="59" a="1"/>
  <c r="A107" i="59" s="1"/>
  <c r="A108" i="59" a="1"/>
  <c r="A108" i="59" s="1"/>
  <c r="A109" i="59" a="1"/>
  <c r="A109" i="59" s="1"/>
  <c r="A110" i="59" a="1"/>
  <c r="A110" i="59" s="1"/>
  <c r="A111" i="59" a="1"/>
  <c r="A111" i="59" s="1"/>
  <c r="A112" i="59" a="1"/>
  <c r="A112" i="59" s="1"/>
  <c r="A113" i="59" a="1"/>
  <c r="A113" i="59" s="1"/>
  <c r="A114" i="59" a="1"/>
  <c r="A114" i="59" s="1"/>
  <c r="A115" i="59" a="1"/>
  <c r="A115" i="59" s="1"/>
  <c r="A116" i="59" a="1"/>
  <c r="A116" i="59" s="1"/>
  <c r="A117" i="59" a="1"/>
  <c r="A117" i="59" s="1"/>
  <c r="A118" i="59" a="1"/>
  <c r="A118" i="59" s="1"/>
  <c r="A119" i="59" a="1"/>
  <c r="A119" i="59" s="1"/>
  <c r="A120" i="59" a="1"/>
  <c r="A120" i="59" s="1"/>
  <c r="A121" i="59" a="1"/>
  <c r="A121" i="59" s="1"/>
  <c r="A122" i="59" a="1"/>
  <c r="A122" i="59" s="1"/>
  <c r="A123" i="59" a="1"/>
  <c r="A123" i="59" s="1"/>
  <c r="A124" i="59" a="1"/>
  <c r="A124" i="59" s="1"/>
  <c r="A125" i="59" a="1"/>
  <c r="A125" i="59" s="1"/>
  <c r="A126" i="59" a="1"/>
  <c r="A126" i="59" s="1"/>
  <c r="A127" i="59" a="1"/>
  <c r="A127" i="59" s="1"/>
  <c r="A128" i="59" a="1"/>
  <c r="A128" i="59" s="1"/>
  <c r="A129" i="59" a="1"/>
  <c r="A129" i="59" s="1"/>
  <c r="A130" i="59" a="1"/>
  <c r="A130" i="59" s="1"/>
  <c r="A131" i="59" a="1"/>
  <c r="A131" i="59" s="1"/>
  <c r="A132" i="59" a="1"/>
  <c r="A132" i="59" s="1"/>
  <c r="A133" i="59" a="1"/>
  <c r="A133" i="59" s="1"/>
  <c r="A134" i="59" a="1"/>
  <c r="A134" i="59" s="1"/>
  <c r="A135" i="59" a="1"/>
  <c r="A135" i="59" s="1"/>
  <c r="A136" i="59" a="1"/>
  <c r="A136" i="59" s="1"/>
  <c r="A137" i="59" a="1"/>
  <c r="A137" i="59" s="1"/>
  <c r="A138" i="59" a="1"/>
  <c r="A138" i="59" s="1"/>
  <c r="A139" i="59" a="1"/>
  <c r="A139" i="59" s="1"/>
  <c r="A140" i="59" a="1"/>
  <c r="A140" i="59" s="1"/>
  <c r="A141" i="59" a="1"/>
  <c r="A141" i="59" s="1"/>
  <c r="A142" i="59" a="1"/>
  <c r="A142" i="59" s="1"/>
  <c r="A143" i="59" a="1"/>
  <c r="A143" i="59" s="1"/>
  <c r="A144" i="59" a="1"/>
  <c r="A144" i="59" s="1"/>
  <c r="A145" i="59" a="1"/>
  <c r="A145" i="59" s="1"/>
  <c r="A146" i="59" a="1"/>
  <c r="A146" i="59" s="1"/>
  <c r="A147" i="59" a="1"/>
  <c r="A147" i="59" s="1"/>
  <c r="A148" i="59" a="1"/>
  <c r="A148" i="59" s="1"/>
  <c r="A149" i="59" a="1"/>
  <c r="A149" i="59" s="1"/>
  <c r="A150" i="59" a="1"/>
  <c r="A150" i="59" s="1"/>
  <c r="A151" i="59" a="1"/>
  <c r="A151" i="59" s="1"/>
  <c r="A152" i="59" a="1"/>
  <c r="A152" i="59" s="1"/>
  <c r="A153" i="59" a="1"/>
  <c r="A153" i="59" s="1"/>
  <c r="A154" i="59" a="1"/>
  <c r="A154" i="59" s="1"/>
  <c r="A155" i="59" a="1"/>
  <c r="A155" i="59" s="1"/>
  <c r="A156" i="59" a="1"/>
  <c r="A156" i="59" s="1"/>
  <c r="A157" i="59" a="1"/>
  <c r="A157" i="59" s="1"/>
  <c r="A158" i="59" a="1"/>
  <c r="A158" i="59" s="1"/>
  <c r="A159" i="59" a="1"/>
  <c r="A159" i="59" s="1"/>
  <c r="A160" i="59" a="1"/>
  <c r="A160" i="59" s="1"/>
  <c r="A161" i="59" a="1"/>
  <c r="A161" i="59" s="1"/>
  <c r="A162" i="59" a="1"/>
  <c r="A162" i="59" s="1"/>
  <c r="A163" i="59" a="1"/>
  <c r="A163" i="59" s="1"/>
  <c r="A164" i="59" a="1"/>
  <c r="A164" i="59" s="1"/>
  <c r="A165" i="59" a="1"/>
  <c r="A165" i="59" s="1"/>
  <c r="A166" i="59" a="1"/>
  <c r="A166" i="59" s="1"/>
  <c r="A167" i="59" a="1"/>
  <c r="A167" i="59" s="1"/>
  <c r="A168" i="59" a="1"/>
  <c r="A168" i="59" s="1"/>
  <c r="A169" i="59" a="1"/>
  <c r="A169" i="59" s="1"/>
  <c r="A170" i="59" a="1"/>
  <c r="A170" i="59" s="1"/>
  <c r="A171" i="59" a="1"/>
  <c r="A171" i="59" s="1"/>
  <c r="A172" i="59" a="1"/>
  <c r="A172" i="59" s="1"/>
  <c r="A173" i="59" a="1"/>
  <c r="A173" i="59" s="1"/>
  <c r="A174" i="59" a="1"/>
  <c r="A174" i="59" s="1"/>
  <c r="A175" i="59" a="1"/>
  <c r="A175" i="59" s="1"/>
  <c r="A176" i="59" a="1"/>
  <c r="A176" i="59" s="1"/>
  <c r="A177" i="59" a="1"/>
  <c r="A177" i="59" s="1"/>
  <c r="A178" i="59" a="1"/>
  <c r="A178" i="59" s="1"/>
  <c r="A179" i="59" a="1"/>
  <c r="A179" i="59" s="1"/>
  <c r="A180" i="59" a="1"/>
  <c r="A180" i="59" s="1"/>
  <c r="A181" i="59" a="1"/>
  <c r="A181" i="59" s="1"/>
  <c r="A182" i="59" a="1"/>
  <c r="A182" i="59" s="1"/>
  <c r="A183" i="59" a="1"/>
  <c r="A183" i="59" s="1"/>
  <c r="A184" i="59" a="1"/>
  <c r="A184" i="59" s="1"/>
  <c r="A185" i="59" a="1"/>
  <c r="A185" i="59" s="1"/>
  <c r="A186" i="59" a="1"/>
  <c r="A186" i="59" s="1"/>
  <c r="A187" i="59" a="1"/>
  <c r="A187" i="59" s="1"/>
  <c r="A188" i="59" a="1"/>
  <c r="A188" i="59" s="1"/>
  <c r="A189" i="59" a="1"/>
  <c r="A189" i="59" s="1"/>
  <c r="A190" i="59" a="1"/>
  <c r="A190" i="59" s="1"/>
  <c r="A191" i="59" a="1"/>
  <c r="A191" i="59" s="1"/>
  <c r="A192" i="59" a="1"/>
  <c r="A192" i="59" s="1"/>
  <c r="A193" i="59" a="1"/>
  <c r="A193" i="59" s="1"/>
  <c r="A194" i="59" a="1"/>
  <c r="A194" i="59" s="1"/>
  <c r="A195" i="59" a="1"/>
  <c r="A195" i="59" s="1"/>
  <c r="A196" i="59" a="1"/>
  <c r="A196" i="59" s="1"/>
  <c r="A197" i="59" a="1"/>
  <c r="A197" i="59" s="1"/>
  <c r="A198" i="59" a="1"/>
  <c r="A198" i="59" s="1"/>
  <c r="A199" i="59" a="1"/>
  <c r="A199" i="59" s="1"/>
  <c r="A200" i="59" a="1"/>
  <c r="A200" i="59" s="1"/>
  <c r="A201" i="59" a="1"/>
  <c r="A201" i="59" s="1"/>
  <c r="A202" i="59" a="1"/>
  <c r="A202" i="59" s="1"/>
  <c r="A203" i="59" a="1"/>
  <c r="A203" i="59" s="1"/>
  <c r="A204" i="59" a="1"/>
  <c r="A204" i="59" s="1"/>
  <c r="A205" i="59" a="1"/>
  <c r="A205" i="59" s="1"/>
  <c r="A206" i="59" a="1"/>
  <c r="A206" i="59" s="1"/>
  <c r="A207" i="59" a="1"/>
  <c r="A207" i="59" s="1"/>
  <c r="A208" i="59" a="1"/>
  <c r="A208" i="59" s="1"/>
  <c r="A209" i="59" a="1"/>
  <c r="A209" i="59" s="1"/>
  <c r="A210" i="59" a="1"/>
  <c r="A210" i="59" s="1"/>
  <c r="A211" i="59" a="1"/>
  <c r="A211" i="59" s="1"/>
  <c r="A212" i="59" a="1"/>
  <c r="A212" i="59" s="1"/>
  <c r="A213" i="59" a="1"/>
  <c r="A213" i="59" s="1"/>
  <c r="A214" i="59" a="1"/>
  <c r="A214" i="59" s="1"/>
  <c r="A215" i="59" a="1"/>
  <c r="A215" i="59" s="1"/>
  <c r="A216" i="59" a="1"/>
  <c r="A216" i="59" s="1"/>
  <c r="A217" i="59" a="1"/>
  <c r="A217" i="59" s="1"/>
  <c r="A218" i="59" a="1"/>
  <c r="A218" i="59" s="1"/>
  <c r="A219" i="59" a="1"/>
  <c r="A219" i="59" s="1"/>
  <c r="A220" i="59" a="1"/>
  <c r="A220" i="59" s="1"/>
  <c r="A221" i="59" a="1"/>
  <c r="A221" i="59" s="1"/>
  <c r="A222" i="59" a="1"/>
  <c r="A222" i="59" s="1"/>
  <c r="A223" i="59" a="1"/>
  <c r="A223" i="59" s="1"/>
  <c r="A224" i="59" a="1"/>
  <c r="A224" i="59" s="1"/>
  <c r="A225" i="59" a="1"/>
  <c r="A225" i="59" s="1"/>
  <c r="A226" i="59" a="1"/>
  <c r="A226" i="59" s="1"/>
  <c r="A227" i="59" a="1"/>
  <c r="A227" i="59" s="1"/>
  <c r="A228" i="59" a="1"/>
  <c r="A228" i="59" s="1"/>
  <c r="A229" i="59" a="1"/>
  <c r="A229" i="59" s="1"/>
  <c r="A230" i="59" a="1"/>
  <c r="A230" i="59" s="1"/>
  <c r="A231" i="59" a="1"/>
  <c r="A231" i="59" s="1"/>
  <c r="A232" i="59" a="1"/>
  <c r="A232" i="59" s="1"/>
  <c r="A233" i="59" a="1"/>
  <c r="A233" i="59" s="1"/>
  <c r="A234" i="59" a="1"/>
  <c r="A234" i="59" s="1"/>
  <c r="A235" i="59" a="1"/>
  <c r="A235" i="59" s="1"/>
  <c r="A236" i="59" a="1"/>
  <c r="A236" i="59" s="1"/>
  <c r="A237" i="59" a="1"/>
  <c r="A237" i="59" s="1"/>
  <c r="A238" i="59" a="1"/>
  <c r="A238" i="59" s="1"/>
  <c r="A239" i="59" a="1"/>
  <c r="A239" i="59" s="1"/>
  <c r="A240" i="59" a="1"/>
  <c r="A240" i="59" s="1"/>
  <c r="A241" i="59" a="1"/>
  <c r="A241" i="59" s="1"/>
  <c r="A242" i="59" a="1"/>
  <c r="A242" i="59" s="1"/>
  <c r="A243" i="59" a="1"/>
  <c r="A243" i="59" s="1"/>
  <c r="A244" i="59" a="1"/>
  <c r="A244" i="59" s="1"/>
  <c r="A245" i="59" a="1"/>
  <c r="A245" i="59" s="1"/>
  <c r="A246" i="59" a="1"/>
  <c r="A246" i="59" s="1"/>
  <c r="A247" i="59" a="1"/>
  <c r="A247" i="59" s="1"/>
  <c r="A248" i="59" a="1"/>
  <c r="A248" i="59" s="1"/>
  <c r="A249" i="59" a="1"/>
  <c r="A249" i="59" s="1"/>
  <c r="A250" i="59" a="1"/>
  <c r="A250" i="59" s="1"/>
  <c r="A251" i="59" a="1"/>
  <c r="A251" i="59" s="1"/>
  <c r="A252" i="59" a="1"/>
  <c r="A252" i="59" s="1"/>
  <c r="A253" i="59" a="1"/>
  <c r="A253" i="59" s="1"/>
  <c r="A254" i="59" a="1"/>
  <c r="A254" i="59" s="1"/>
  <c r="A255" i="59" a="1"/>
  <c r="A255" i="59" s="1"/>
  <c r="A256" i="59" a="1"/>
  <c r="A256" i="59" s="1"/>
  <c r="A257" i="59" a="1"/>
  <c r="A257" i="59" s="1"/>
  <c r="A258" i="59" a="1"/>
  <c r="A258" i="59" s="1"/>
  <c r="A259" i="59" a="1"/>
  <c r="A259" i="59" s="1"/>
  <c r="A260" i="59" a="1"/>
  <c r="A260" i="59" s="1"/>
  <c r="A261" i="59" a="1"/>
  <c r="A261" i="59" s="1"/>
  <c r="A262" i="59" a="1"/>
  <c r="A262" i="59" s="1"/>
  <c r="A263" i="59" a="1"/>
  <c r="A263" i="59" s="1"/>
  <c r="A264" i="59" a="1"/>
  <c r="A264" i="59" s="1"/>
  <c r="A265" i="59" a="1"/>
  <c r="A265" i="59" s="1"/>
  <c r="A266" i="59" a="1"/>
  <c r="A266" i="59" s="1"/>
  <c r="A267" i="59" a="1"/>
  <c r="A267" i="59" s="1"/>
  <c r="A268" i="59" a="1"/>
  <c r="A268" i="59" s="1"/>
  <c r="A269" i="59" a="1"/>
  <c r="A269" i="59" s="1"/>
  <c r="A270" i="59" a="1"/>
  <c r="A270" i="59" s="1"/>
  <c r="A271" i="59" a="1"/>
  <c r="A271" i="59" s="1"/>
  <c r="A272" i="59" a="1"/>
  <c r="A272" i="59" s="1"/>
  <c r="A273" i="59" a="1"/>
  <c r="A273" i="59" s="1"/>
  <c r="A274" i="59" a="1"/>
  <c r="A274" i="59" s="1"/>
  <c r="A275" i="59" a="1"/>
  <c r="A275" i="59" s="1"/>
  <c r="A276" i="59" a="1"/>
  <c r="A276" i="59" s="1"/>
  <c r="A277" i="59" a="1"/>
  <c r="A277" i="59" s="1"/>
  <c r="A278" i="59" a="1"/>
  <c r="A278" i="59" s="1"/>
  <c r="A279" i="59" a="1"/>
  <c r="A279" i="59" s="1"/>
  <c r="A280" i="59" a="1"/>
  <c r="A280" i="59" s="1"/>
  <c r="A281" i="59" a="1"/>
  <c r="A281" i="59" s="1"/>
  <c r="A282" i="59" a="1"/>
  <c r="A282" i="59" s="1"/>
  <c r="A283" i="59" a="1"/>
  <c r="A283" i="59" s="1"/>
  <c r="A284" i="59" a="1"/>
  <c r="A284" i="59" s="1"/>
  <c r="A285" i="59" a="1"/>
  <c r="A285" i="59" s="1"/>
  <c r="A286" i="59" a="1"/>
  <c r="A286" i="59" s="1"/>
  <c r="A287" i="59" a="1"/>
  <c r="A287" i="59" s="1"/>
  <c r="A288" i="59" a="1"/>
  <c r="A288" i="59" s="1"/>
  <c r="A289" i="59" a="1"/>
  <c r="A289" i="59" s="1"/>
  <c r="A290" i="59" a="1"/>
  <c r="A290" i="59" s="1"/>
  <c r="A291" i="59" a="1"/>
  <c r="A291" i="59" s="1"/>
  <c r="A292" i="59" a="1"/>
  <c r="A292" i="59" s="1"/>
  <c r="A293" i="59" a="1"/>
  <c r="A293" i="59" s="1"/>
  <c r="A294" i="59" a="1"/>
  <c r="A294" i="59" s="1"/>
  <c r="A295" i="59" a="1"/>
  <c r="A295" i="59" s="1"/>
  <c r="A296" i="59" a="1"/>
  <c r="A296" i="59" s="1"/>
  <c r="A297" i="59" a="1"/>
  <c r="A297" i="59" s="1"/>
  <c r="A298" i="59" a="1"/>
  <c r="A298" i="59" s="1"/>
  <c r="A299" i="59" a="1"/>
  <c r="A299" i="59" s="1"/>
  <c r="A300" i="59" a="1"/>
  <c r="A300" i="59" s="1"/>
  <c r="A301" i="59" a="1"/>
  <c r="A301" i="59" s="1"/>
  <c r="A302" i="59" a="1"/>
  <c r="A302" i="59" s="1"/>
  <c r="A303" i="59" a="1"/>
  <c r="A303" i="59" s="1"/>
  <c r="A304" i="59" a="1"/>
  <c r="A304" i="59" s="1"/>
  <c r="A305" i="59" a="1"/>
  <c r="A305" i="59" s="1"/>
  <c r="A306" i="59" a="1"/>
  <c r="A306" i="59" s="1"/>
  <c r="A307" i="59" a="1"/>
  <c r="A307" i="59" s="1"/>
  <c r="A308" i="59" a="1"/>
  <c r="A308" i="59" s="1"/>
  <c r="A309" i="59" a="1"/>
  <c r="A309" i="59" s="1"/>
  <c r="A310" i="59" a="1"/>
  <c r="A310" i="59" s="1"/>
  <c r="A311" i="59" a="1"/>
  <c r="A311" i="59" s="1"/>
  <c r="A312" i="59" a="1"/>
  <c r="A312" i="59" s="1"/>
  <c r="A313" i="59" a="1"/>
  <c r="A313" i="59" s="1"/>
  <c r="A314" i="59" a="1"/>
  <c r="A314" i="59" s="1"/>
  <c r="A315" i="59" a="1"/>
  <c r="A315" i="59" s="1"/>
  <c r="A316" i="59" a="1"/>
  <c r="A316" i="59" s="1"/>
  <c r="A317" i="59" a="1"/>
  <c r="A317" i="59" s="1"/>
  <c r="A318" i="59" a="1"/>
  <c r="A318" i="59" s="1"/>
  <c r="A319" i="59" a="1"/>
  <c r="A319" i="59" s="1"/>
  <c r="A320" i="59" a="1"/>
  <c r="A320" i="59" s="1"/>
  <c r="A321" i="59" a="1"/>
  <c r="A321" i="59" s="1"/>
  <c r="A322" i="59" a="1"/>
  <c r="A322" i="59" s="1"/>
  <c r="A323" i="59" a="1"/>
  <c r="A323" i="59" s="1"/>
  <c r="A17" i="59" a="1"/>
  <c r="A17" i="59" s="1"/>
  <c r="C3" i="60" l="1"/>
  <c r="C619" i="60"/>
  <c r="C16" i="60"/>
  <c r="C26" i="60"/>
  <c r="C172" i="60"/>
  <c r="C14" i="60"/>
  <c r="C13" i="60"/>
  <c r="C7" i="60"/>
  <c r="C4" i="60"/>
  <c r="C840" i="60"/>
  <c r="C685" i="60"/>
  <c r="C681" i="60"/>
  <c r="C789" i="60"/>
  <c r="C732" i="60"/>
  <c r="C597" i="60"/>
  <c r="C532" i="60"/>
  <c r="C316" i="60"/>
  <c r="C222" i="60"/>
  <c r="C742" i="60"/>
  <c r="C421" i="60"/>
  <c r="C215" i="60"/>
  <c r="C240" i="60"/>
  <c r="C226" i="60"/>
  <c r="C85" i="60"/>
  <c r="C184" i="60"/>
  <c r="C854" i="60"/>
  <c r="C859" i="60"/>
  <c r="C875" i="60"/>
  <c r="C856" i="60"/>
  <c r="C775" i="60"/>
  <c r="C768" i="60"/>
  <c r="C474" i="60"/>
  <c r="C285" i="60"/>
  <c r="C182" i="60"/>
  <c r="C459" i="60"/>
  <c r="C335" i="60"/>
  <c r="C277" i="60"/>
  <c r="C187" i="60"/>
  <c r="C178" i="60"/>
  <c r="C213" i="60"/>
  <c r="C992" i="60"/>
  <c r="C674" i="60"/>
  <c r="C829" i="60"/>
  <c r="C839" i="60"/>
  <c r="C514" i="60"/>
  <c r="C381" i="60"/>
  <c r="C797" i="60"/>
  <c r="C341" i="60"/>
  <c r="C697" i="60"/>
  <c r="C612" i="60"/>
  <c r="C426" i="60"/>
  <c r="C879" i="60"/>
  <c r="C728" i="60"/>
  <c r="C956" i="60"/>
  <c r="C813" i="60"/>
  <c r="C938" i="60"/>
  <c r="C990" i="60"/>
  <c r="C872" i="60"/>
  <c r="C808" i="60"/>
  <c r="C946" i="60"/>
  <c r="C393" i="60"/>
  <c r="C365" i="60"/>
  <c r="C947" i="60"/>
  <c r="C689" i="60"/>
  <c r="C447" i="60"/>
  <c r="C581" i="60"/>
  <c r="C690" i="60"/>
  <c r="C744" i="60"/>
  <c r="C433" i="60"/>
  <c r="C584" i="60"/>
  <c r="C430" i="60"/>
  <c r="C863" i="60"/>
  <c r="C431" i="60"/>
  <c r="C870" i="60"/>
  <c r="C734" i="60"/>
  <c r="C748" i="60"/>
  <c r="C657" i="60"/>
  <c r="C460" i="60"/>
  <c r="C534" i="60"/>
  <c r="C263" i="60"/>
  <c r="C483" i="60"/>
  <c r="C293" i="60"/>
  <c r="C180" i="60"/>
  <c r="C75" i="60"/>
  <c r="C155" i="60"/>
  <c r="C922" i="60"/>
  <c r="C931" i="60"/>
  <c r="C940" i="60"/>
  <c r="C930" i="60"/>
  <c r="C773" i="60"/>
  <c r="C974" i="60"/>
  <c r="C718" i="60"/>
  <c r="C823" i="60"/>
  <c r="C727" i="60"/>
  <c r="C954" i="60"/>
  <c r="C845" i="60"/>
  <c r="C963" i="60"/>
  <c r="C886" i="60"/>
  <c r="C972" i="60"/>
  <c r="C895" i="60"/>
  <c r="C962" i="60"/>
  <c r="C706" i="60"/>
  <c r="C805" i="60"/>
  <c r="C891" i="60"/>
  <c r="C635" i="60"/>
  <c r="C750" i="60"/>
  <c r="C855" i="60"/>
  <c r="C694" i="60"/>
  <c r="C736" i="60"/>
  <c r="C884" i="60"/>
  <c r="C796" i="60"/>
  <c r="C752" i="60"/>
  <c r="C900" i="60"/>
  <c r="C463" i="60"/>
  <c r="C530" i="60"/>
  <c r="C613" i="60"/>
  <c r="C842" i="60"/>
  <c r="C440" i="60"/>
  <c r="C397" i="60"/>
  <c r="C537" i="60"/>
  <c r="C336" i="60"/>
  <c r="C776" i="60"/>
  <c r="C852" i="60"/>
  <c r="C409" i="60"/>
  <c r="C332" i="60"/>
  <c r="C467" i="60"/>
  <c r="C481" i="60"/>
  <c r="C627" i="60"/>
  <c r="C392" i="60"/>
  <c r="C238" i="60"/>
  <c r="C292" i="60"/>
  <c r="C606" i="60"/>
  <c r="C647" i="60"/>
  <c r="C189" i="60"/>
  <c r="C30" i="60"/>
  <c r="C350" i="60"/>
  <c r="C275" i="60"/>
  <c r="C476" i="60"/>
  <c r="C680" i="60"/>
  <c r="C36" i="60"/>
  <c r="C233" i="60"/>
  <c r="C636" i="60"/>
  <c r="C342" i="60"/>
  <c r="C294" i="60"/>
  <c r="C407" i="60"/>
  <c r="C310" i="60"/>
  <c r="C262" i="60"/>
  <c r="C347" i="60"/>
  <c r="C192" i="60"/>
  <c r="C116" i="60"/>
  <c r="C105" i="60"/>
  <c r="C6" i="60"/>
  <c r="C339" i="60"/>
  <c r="C203" i="60"/>
  <c r="C272" i="60"/>
  <c r="C524" i="60"/>
  <c r="C737" i="60"/>
  <c r="C574" i="60"/>
  <c r="C817" i="60"/>
  <c r="C300" i="60"/>
  <c r="C435" i="60"/>
  <c r="C456" i="60"/>
  <c r="C583" i="60"/>
  <c r="C672" i="60"/>
  <c r="C206" i="60"/>
  <c r="C278" i="60"/>
  <c r="C571" i="60"/>
  <c r="C695" i="60"/>
  <c r="C168" i="60"/>
  <c r="C568" i="60"/>
  <c r="C328" i="60"/>
  <c r="C701" i="60"/>
  <c r="C441" i="60"/>
  <c r="C414" i="60"/>
  <c r="C186" i="60"/>
  <c r="C343" i="60"/>
  <c r="C312" i="60"/>
  <c r="C227" i="60"/>
  <c r="C218" i="60"/>
  <c r="C282" i="60"/>
  <c r="C205" i="60"/>
  <c r="C135" i="60"/>
  <c r="C146" i="60"/>
  <c r="C71" i="60"/>
  <c r="C601" i="60"/>
  <c r="C37" i="60"/>
  <c r="C114" i="60"/>
  <c r="C92" i="60"/>
  <c r="C94" i="60"/>
  <c r="C131" i="60"/>
  <c r="C838" i="60"/>
  <c r="C790" i="60"/>
  <c r="C500" i="60"/>
  <c r="C793" i="60"/>
  <c r="C284" i="60"/>
  <c r="C428" i="60"/>
  <c r="C449" i="60"/>
  <c r="C548" i="60"/>
  <c r="C643" i="60"/>
  <c r="C190" i="60"/>
  <c r="C267" i="60"/>
  <c r="C538" i="60"/>
  <c r="C666" i="60"/>
  <c r="C164" i="60"/>
  <c r="C558" i="60"/>
  <c r="C324" i="60"/>
  <c r="C577" i="60"/>
  <c r="C363" i="60"/>
  <c r="C356" i="60"/>
  <c r="C561" i="60"/>
  <c r="C170" i="60"/>
  <c r="C273" i="60"/>
  <c r="C289" i="60"/>
  <c r="C185" i="60"/>
  <c r="C169" i="60"/>
  <c r="C201" i="60"/>
  <c r="C152" i="60"/>
  <c r="C20" i="60"/>
  <c r="C123" i="60"/>
  <c r="C67" i="60"/>
  <c r="C404" i="60"/>
  <c r="C281" i="60"/>
  <c r="C54" i="60"/>
  <c r="C79" i="60"/>
  <c r="C658" i="60"/>
  <c r="C985" i="60"/>
  <c r="C791" i="60"/>
  <c r="C800" i="60"/>
  <c r="C785" i="60"/>
  <c r="C394" i="60"/>
  <c r="C784" i="60"/>
  <c r="C268" i="60"/>
  <c r="C415" i="60"/>
  <c r="C442" i="60"/>
  <c r="C625" i="60"/>
  <c r="C174" i="60"/>
  <c r="C257" i="60"/>
  <c r="C529" i="60"/>
  <c r="C304" i="60"/>
  <c r="C157" i="60"/>
  <c r="C385" i="60"/>
  <c r="C287" i="60"/>
  <c r="C391" i="60"/>
  <c r="C353" i="60"/>
  <c r="C329" i="60"/>
  <c r="C462" i="60"/>
  <c r="C166" i="60"/>
  <c r="C219" i="60"/>
  <c r="C210" i="60"/>
  <c r="C181" i="60"/>
  <c r="C133" i="60"/>
  <c r="C197" i="60"/>
  <c r="C117" i="60"/>
  <c r="C38" i="60"/>
  <c r="C43" i="60"/>
  <c r="C52" i="60"/>
  <c r="C344" i="60"/>
  <c r="C250" i="60"/>
  <c r="C265" i="60"/>
  <c r="C40" i="60"/>
  <c r="C70" i="60"/>
  <c r="C423" i="60"/>
  <c r="C915" i="60"/>
  <c r="C847" i="60"/>
  <c r="C702" i="60"/>
  <c r="C787" i="60"/>
  <c r="C712" i="60"/>
  <c r="C899" i="60"/>
  <c r="C898" i="60"/>
  <c r="C741" i="60"/>
  <c r="C686" i="60"/>
  <c r="C646" i="60"/>
  <c r="C653" i="60"/>
  <c r="C723" i="60"/>
  <c r="C688" i="60"/>
  <c r="C739" i="60"/>
  <c r="C881" i="60"/>
  <c r="C549" i="60"/>
  <c r="C673" i="60"/>
  <c r="C333" i="60"/>
  <c r="C493" i="60"/>
  <c r="C585" i="60"/>
  <c r="C704" i="60"/>
  <c r="C510" i="60"/>
  <c r="C539" i="60"/>
  <c r="C874" i="60"/>
  <c r="C944" i="60"/>
  <c r="C883" i="60"/>
  <c r="C969" i="60"/>
  <c r="C892" i="60"/>
  <c r="C815" i="60"/>
  <c r="C882" i="60"/>
  <c r="C981" i="60"/>
  <c r="C725" i="60"/>
  <c r="C811" i="60"/>
  <c r="C926" i="60"/>
  <c r="C670" i="60"/>
  <c r="C849" i="60"/>
  <c r="C631" i="60"/>
  <c r="C624" i="60"/>
  <c r="C634" i="60"/>
  <c r="C778" i="60"/>
  <c r="C684" i="60"/>
  <c r="C652" i="60"/>
  <c r="C760" i="60"/>
  <c r="C781" i="60"/>
  <c r="C533" i="60"/>
  <c r="C868" i="60"/>
  <c r="C378" i="60"/>
  <c r="C317" i="60"/>
  <c r="C486" i="60"/>
  <c r="C555" i="60"/>
  <c r="C629" i="60"/>
  <c r="C503" i="60"/>
  <c r="C729" i="60"/>
  <c r="C759" i="60"/>
  <c r="C399" i="60"/>
  <c r="C418" i="60"/>
  <c r="C522" i="60"/>
  <c r="C616" i="60"/>
  <c r="C158" i="60"/>
  <c r="C241" i="60"/>
  <c r="C513" i="60"/>
  <c r="C296" i="60"/>
  <c r="C150" i="60"/>
  <c r="C375" i="60"/>
  <c r="C283" i="60"/>
  <c r="C379" i="60"/>
  <c r="C331" i="60"/>
  <c r="C319" i="60"/>
  <c r="C337" i="60"/>
  <c r="C162" i="60"/>
  <c r="C194" i="60"/>
  <c r="C173" i="60"/>
  <c r="C153" i="60"/>
  <c r="C582" i="60"/>
  <c r="C160" i="60"/>
  <c r="C112" i="60"/>
  <c r="C29" i="60"/>
  <c r="C109" i="60"/>
  <c r="C24" i="60"/>
  <c r="C276" i="60"/>
  <c r="C87" i="60"/>
  <c r="C74" i="60"/>
  <c r="C234" i="60"/>
  <c r="C27" i="60"/>
  <c r="C188" i="60"/>
  <c r="C914" i="60"/>
  <c r="C945" i="60"/>
  <c r="C890" i="60"/>
  <c r="C642" i="60"/>
  <c r="C928" i="60"/>
  <c r="C799" i="60"/>
  <c r="C965" i="60"/>
  <c r="C795" i="60"/>
  <c r="C910" i="60"/>
  <c r="C654" i="60"/>
  <c r="C833" i="60"/>
  <c r="C621" i="60"/>
  <c r="C608" i="60"/>
  <c r="C611" i="60"/>
  <c r="C774" i="60"/>
  <c r="C668" i="60"/>
  <c r="C623" i="60"/>
  <c r="C743" i="60"/>
  <c r="C730" i="60"/>
  <c r="C517" i="60"/>
  <c r="C771" i="60"/>
  <c r="C968" i="60"/>
  <c r="C301" i="60"/>
  <c r="C468" i="60"/>
  <c r="C507" i="60"/>
  <c r="C614" i="60"/>
  <c r="C496" i="60"/>
  <c r="C720" i="60"/>
  <c r="C682" i="60"/>
  <c r="C383" i="60"/>
  <c r="C402" i="60"/>
  <c r="C509" i="60"/>
  <c r="C494" i="60"/>
  <c r="C142" i="60"/>
  <c r="C225" i="60"/>
  <c r="C451" i="60"/>
  <c r="C264" i="60"/>
  <c r="C136" i="60"/>
  <c r="C346" i="60"/>
  <c r="C271" i="60"/>
  <c r="C345" i="60"/>
  <c r="C323" i="60"/>
  <c r="C308" i="60"/>
  <c r="C325" i="60"/>
  <c r="C154" i="60"/>
  <c r="C122" i="60"/>
  <c r="C141" i="60"/>
  <c r="C149" i="60"/>
  <c r="C382" i="60"/>
  <c r="C128" i="60"/>
  <c r="C81" i="60"/>
  <c r="C602" i="60"/>
  <c r="C143" i="60"/>
  <c r="C244" i="60"/>
  <c r="C372" i="60"/>
  <c r="C60" i="60"/>
  <c r="C176" i="60"/>
  <c r="C764" i="60"/>
  <c r="C44" i="60"/>
  <c r="C906" i="60"/>
  <c r="C669" i="60"/>
  <c r="C349" i="60"/>
  <c r="C908" i="60"/>
  <c r="C827" i="60"/>
  <c r="C858" i="60"/>
  <c r="C876" i="60"/>
  <c r="C989" i="60"/>
  <c r="C937" i="60"/>
  <c r="C783" i="60"/>
  <c r="C693" i="60"/>
  <c r="C894" i="60"/>
  <c r="C638" i="60"/>
  <c r="C820" i="60"/>
  <c r="C605" i="60"/>
  <c r="C592" i="60"/>
  <c r="C595" i="60"/>
  <c r="C769" i="60"/>
  <c r="C637" i="60"/>
  <c r="C607" i="60"/>
  <c r="C696" i="60"/>
  <c r="C726" i="60"/>
  <c r="C501" i="60"/>
  <c r="C707" i="60"/>
  <c r="C812" i="60"/>
  <c r="C916" i="60"/>
  <c r="C461" i="60"/>
  <c r="C482" i="60"/>
  <c r="C570" i="60"/>
  <c r="C489" i="60"/>
  <c r="C656" i="60"/>
  <c r="C662" i="60"/>
  <c r="C367" i="60"/>
  <c r="C386" i="60"/>
  <c r="C502" i="60"/>
  <c r="C487" i="60"/>
  <c r="C126" i="60"/>
  <c r="C209" i="60"/>
  <c r="C961" i="60"/>
  <c r="C260" i="60"/>
  <c r="C132" i="60"/>
  <c r="C320" i="60"/>
  <c r="C249" i="60"/>
  <c r="C315" i="60"/>
  <c r="C298" i="60"/>
  <c r="C280" i="60"/>
  <c r="C269" i="60"/>
  <c r="C138" i="60"/>
  <c r="C100" i="60"/>
  <c r="C107" i="60"/>
  <c r="C110" i="60"/>
  <c r="C360" i="60"/>
  <c r="C106" i="60"/>
  <c r="C77" i="60"/>
  <c r="C202" i="60"/>
  <c r="C505" i="60"/>
  <c r="C427" i="60"/>
  <c r="C204" i="60"/>
  <c r="C334" i="60"/>
  <c r="C596" i="60"/>
  <c r="C68" i="60"/>
  <c r="C258" i="60"/>
  <c r="C21" i="60"/>
  <c r="C958" i="60"/>
  <c r="C665" i="60"/>
  <c r="C609" i="60"/>
  <c r="C960" i="60"/>
  <c r="C831" i="60"/>
  <c r="C942" i="60"/>
  <c r="C867" i="60"/>
  <c r="C953" i="60"/>
  <c r="C866" i="60"/>
  <c r="C709" i="60"/>
  <c r="C912" i="60"/>
  <c r="C851" i="60"/>
  <c r="C860" i="60"/>
  <c r="C850" i="60"/>
  <c r="C949" i="60"/>
  <c r="C779" i="60"/>
  <c r="C973" i="60"/>
  <c r="C896" i="60"/>
  <c r="C835" i="60"/>
  <c r="C921" i="60"/>
  <c r="C844" i="60"/>
  <c r="C767" i="60"/>
  <c r="C834" i="60"/>
  <c r="C933" i="60"/>
  <c r="C677" i="60"/>
  <c r="C763" i="60"/>
  <c r="C878" i="60"/>
  <c r="C983" i="60"/>
  <c r="C806" i="60"/>
  <c r="C589" i="60"/>
  <c r="C576" i="60"/>
  <c r="C579" i="60"/>
  <c r="C765" i="60"/>
  <c r="C630" i="60"/>
  <c r="C591" i="60"/>
  <c r="C648" i="60"/>
  <c r="C721" i="60"/>
  <c r="C485" i="60"/>
  <c r="C586" i="60"/>
  <c r="C803" i="60"/>
  <c r="C904" i="60"/>
  <c r="C454" i="60"/>
  <c r="C475" i="60"/>
  <c r="C550" i="60"/>
  <c r="C478" i="60"/>
  <c r="C645" i="60"/>
  <c r="C639" i="60"/>
  <c r="C655" i="60"/>
  <c r="C370" i="60"/>
  <c r="C484" i="60"/>
  <c r="C480" i="60"/>
  <c r="C772" i="60"/>
  <c r="C193" i="60"/>
  <c r="C932" i="60"/>
  <c r="C253" i="60"/>
  <c r="C125" i="60"/>
  <c r="C256" i="60"/>
  <c r="C836" i="60"/>
  <c r="C259" i="60"/>
  <c r="C270" i="60"/>
  <c r="C247" i="60"/>
  <c r="C229" i="60"/>
  <c r="C134" i="60"/>
  <c r="C93" i="60"/>
  <c r="C96" i="60"/>
  <c r="C103" i="60"/>
  <c r="C236" i="60"/>
  <c r="C61" i="60"/>
  <c r="C48" i="60"/>
  <c r="C50" i="60"/>
  <c r="C466" i="60"/>
  <c r="C327" i="60"/>
  <c r="C156" i="60"/>
  <c r="C251" i="60"/>
  <c r="C297" i="60"/>
  <c r="C520" i="60"/>
  <c r="C167" i="60"/>
  <c r="C330" i="60"/>
  <c r="C676" i="60"/>
  <c r="C819" i="60"/>
  <c r="C905" i="60"/>
  <c r="C828" i="60"/>
  <c r="C751" i="60"/>
  <c r="C818" i="60"/>
  <c r="C917" i="60"/>
  <c r="C661" i="60"/>
  <c r="C747" i="60"/>
  <c r="C862" i="60"/>
  <c r="C967" i="60"/>
  <c r="C801" i="60"/>
  <c r="C573" i="60"/>
  <c r="C560" i="60"/>
  <c r="C563" i="60"/>
  <c r="C714" i="60"/>
  <c r="C620" i="60"/>
  <c r="C575" i="60"/>
  <c r="C644" i="60"/>
  <c r="C717" i="60"/>
  <c r="C469" i="60"/>
  <c r="C566" i="60"/>
  <c r="C794" i="60"/>
  <c r="C777" i="60"/>
  <c r="C436" i="60"/>
  <c r="C450" i="60"/>
  <c r="C545" i="60"/>
  <c r="C471" i="60"/>
  <c r="C599" i="60"/>
  <c r="C603" i="60"/>
  <c r="C650" i="60"/>
  <c r="C354" i="60"/>
  <c r="C477" i="60"/>
  <c r="C473" i="60"/>
  <c r="C716" i="60"/>
  <c r="C177" i="60"/>
  <c r="C660" i="60"/>
  <c r="C246" i="60"/>
  <c r="C118" i="60"/>
  <c r="C242" i="60"/>
  <c r="C822" i="60"/>
  <c r="C252" i="60"/>
  <c r="C266" i="60"/>
  <c r="C207" i="60"/>
  <c r="C211" i="60"/>
  <c r="C130" i="60"/>
  <c r="C86" i="60"/>
  <c r="C89" i="60"/>
  <c r="C82" i="60"/>
  <c r="C165" i="60"/>
  <c r="C51" i="60"/>
  <c r="C34" i="60"/>
  <c r="C124" i="60"/>
  <c r="C417" i="60"/>
  <c r="C309" i="60"/>
  <c r="C80" i="60"/>
  <c r="C216" i="60"/>
  <c r="C288" i="60"/>
  <c r="C366" i="60"/>
  <c r="C120" i="60"/>
  <c r="C248" i="60"/>
  <c r="C924" i="60"/>
  <c r="C692" i="60"/>
  <c r="C982" i="60"/>
  <c r="C889" i="60"/>
  <c r="C991" i="60"/>
  <c r="C735" i="60"/>
  <c r="C802" i="60"/>
  <c r="C901" i="60"/>
  <c r="C987" i="60"/>
  <c r="C731" i="60"/>
  <c r="C846" i="60"/>
  <c r="C951" i="60"/>
  <c r="C792" i="60"/>
  <c r="C557" i="60"/>
  <c r="C544" i="60"/>
  <c r="C547" i="60"/>
  <c r="C710" i="60"/>
  <c r="C604" i="60"/>
  <c r="C559" i="60"/>
  <c r="C633" i="60"/>
  <c r="C679" i="60"/>
  <c r="C453" i="60"/>
  <c r="C504" i="60"/>
  <c r="C678" i="60"/>
  <c r="C746" i="60"/>
  <c r="C429" i="60"/>
  <c r="C443" i="60"/>
  <c r="C536" i="60"/>
  <c r="C464" i="60"/>
  <c r="C564" i="60"/>
  <c r="C593" i="60"/>
  <c r="C628" i="60"/>
  <c r="C338" i="60"/>
  <c r="C470" i="60"/>
  <c r="C411" i="60"/>
  <c r="C508" i="60"/>
  <c r="C161" i="60"/>
  <c r="C632" i="60"/>
  <c r="C232" i="60"/>
  <c r="C111" i="60"/>
  <c r="C235" i="60"/>
  <c r="C420" i="60"/>
  <c r="C245" i="60"/>
  <c r="C255" i="60"/>
  <c r="C199" i="60"/>
  <c r="C525" i="60"/>
  <c r="C104" i="60"/>
  <c r="C59" i="60"/>
  <c r="C45" i="60"/>
  <c r="C72" i="60"/>
  <c r="C137" i="60"/>
  <c r="C41" i="60"/>
  <c r="C708" i="60"/>
  <c r="C239" i="60"/>
  <c r="C231" i="60"/>
  <c r="C42" i="60"/>
  <c r="C179" i="60"/>
  <c r="C83" i="60"/>
  <c r="C212" i="60"/>
  <c r="C314" i="60"/>
  <c r="C220" i="60"/>
  <c r="C565" i="60"/>
  <c r="C941" i="60"/>
  <c r="C848" i="60"/>
  <c r="C966" i="60"/>
  <c r="C873" i="60"/>
  <c r="C975" i="60"/>
  <c r="C719" i="60"/>
  <c r="C786" i="60"/>
  <c r="C885" i="60"/>
  <c r="C971" i="60"/>
  <c r="C715" i="60"/>
  <c r="C830" i="60"/>
  <c r="C935" i="60"/>
  <c r="C762" i="60"/>
  <c r="C541" i="60"/>
  <c r="C528" i="60"/>
  <c r="C531" i="60"/>
  <c r="C705" i="60"/>
  <c r="C588" i="60"/>
  <c r="C543" i="60"/>
  <c r="C610" i="60"/>
  <c r="C675" i="60"/>
  <c r="C437" i="60"/>
  <c r="C497" i="60"/>
  <c r="C664" i="60"/>
  <c r="C713" i="60"/>
  <c r="C416" i="60"/>
  <c r="C419" i="60"/>
  <c r="C519" i="60"/>
  <c r="C457" i="60"/>
  <c r="C412" i="60"/>
  <c r="C569" i="60"/>
  <c r="C618" i="60"/>
  <c r="C322" i="60"/>
  <c r="C452" i="60"/>
  <c r="C326" i="60"/>
  <c r="C398" i="60"/>
  <c r="C145" i="60"/>
  <c r="C622" i="60"/>
  <c r="C228" i="60"/>
  <c r="C101" i="60"/>
  <c r="C224" i="60"/>
  <c r="C405" i="60"/>
  <c r="C897" i="60"/>
  <c r="C223" i="60"/>
  <c r="C115" i="60"/>
  <c r="C401" i="60"/>
  <c r="C76" i="60"/>
  <c r="C32" i="60"/>
  <c r="C35" i="60"/>
  <c r="C65" i="60"/>
  <c r="C121" i="60"/>
  <c r="C11" i="60"/>
  <c r="C17" i="60"/>
  <c r="C617" i="60"/>
  <c r="C217" i="60"/>
  <c r="C198" i="60"/>
  <c r="C19" i="60"/>
  <c r="C139" i="60"/>
  <c r="C69" i="60"/>
  <c r="C147" i="60"/>
  <c r="C243" i="60"/>
  <c r="C102" i="60"/>
  <c r="C843" i="60"/>
  <c r="C523" i="60"/>
  <c r="C909" i="60"/>
  <c r="C950" i="60"/>
  <c r="C959" i="60"/>
  <c r="C770" i="60"/>
  <c r="C869" i="60"/>
  <c r="C955" i="60"/>
  <c r="C699" i="60"/>
  <c r="C814" i="60"/>
  <c r="C919" i="60"/>
  <c r="C758" i="60"/>
  <c r="C826" i="60"/>
  <c r="C512" i="60"/>
  <c r="C515" i="60"/>
  <c r="C824" i="60"/>
  <c r="C572" i="60"/>
  <c r="C527" i="60"/>
  <c r="C594" i="60"/>
  <c r="C663" i="60"/>
  <c r="C980" i="60"/>
  <c r="C490" i="60"/>
  <c r="C641" i="60"/>
  <c r="C691" i="60"/>
  <c r="C400" i="60"/>
  <c r="C403" i="60"/>
  <c r="C422" i="60"/>
  <c r="C446" i="60"/>
  <c r="C396" i="60"/>
  <c r="C540" i="60"/>
  <c r="C598" i="60"/>
  <c r="C306" i="60"/>
  <c r="C445" i="60"/>
  <c r="C311" i="60"/>
  <c r="C376" i="60"/>
  <c r="C129" i="60"/>
  <c r="C587" i="60"/>
  <c r="C221" i="60"/>
  <c r="C91" i="60"/>
  <c r="C755" i="60"/>
  <c r="C374" i="60"/>
  <c r="C780" i="60"/>
  <c r="C191" i="60"/>
  <c r="C108" i="60"/>
  <c r="C377" i="60"/>
  <c r="C66" i="60"/>
  <c r="C22" i="60"/>
  <c r="C25" i="60"/>
  <c r="C55" i="60"/>
  <c r="C567" i="60"/>
  <c r="C444" i="60"/>
  <c r="C195" i="60"/>
  <c r="C455" i="60"/>
  <c r="C175" i="60"/>
  <c r="C95" i="60"/>
  <c r="C183" i="60"/>
  <c r="C99" i="60"/>
  <c r="C119" i="60"/>
  <c r="C552" i="60"/>
  <c r="C148" i="60"/>
  <c r="C535" i="60"/>
  <c r="C757" i="60"/>
  <c r="C711" i="60"/>
  <c r="C880" i="60"/>
  <c r="C925" i="60"/>
  <c r="C832" i="60"/>
  <c r="C857" i="60"/>
  <c r="C703" i="60"/>
  <c r="C893" i="60"/>
  <c r="C816" i="60"/>
  <c r="C934" i="60"/>
  <c r="C841" i="60"/>
  <c r="C943" i="60"/>
  <c r="C687" i="60"/>
  <c r="C754" i="60"/>
  <c r="C853" i="60"/>
  <c r="C939" i="60"/>
  <c r="C683" i="60"/>
  <c r="C798" i="60"/>
  <c r="C903" i="60"/>
  <c r="C753" i="60"/>
  <c r="C810" i="60"/>
  <c r="C984" i="60"/>
  <c r="C993" i="60"/>
  <c r="C804" i="60"/>
  <c r="C556" i="60"/>
  <c r="C511" i="60"/>
  <c r="C578" i="60"/>
  <c r="C659" i="60"/>
  <c r="C952" i="60"/>
  <c r="C472" i="60"/>
  <c r="C600" i="60"/>
  <c r="C615" i="60"/>
  <c r="C384" i="60"/>
  <c r="C387" i="60"/>
  <c r="C406" i="60"/>
  <c r="C439" i="60"/>
  <c r="C380" i="60"/>
  <c r="C518" i="60"/>
  <c r="C554" i="60"/>
  <c r="C290" i="60"/>
  <c r="C438" i="60"/>
  <c r="C307" i="60"/>
  <c r="C358" i="60"/>
  <c r="C113" i="60"/>
  <c r="C553" i="60"/>
  <c r="C214" i="60"/>
  <c r="C78" i="60"/>
  <c r="C526" i="60"/>
  <c r="C295" i="60"/>
  <c r="C700" i="60"/>
  <c r="C159" i="60"/>
  <c r="C90" i="60"/>
  <c r="C362" i="60"/>
  <c r="C56" i="60"/>
  <c r="C9" i="60"/>
  <c r="C15" i="60"/>
  <c r="C28" i="60"/>
  <c r="C498" i="60"/>
  <c r="C395" i="60"/>
  <c r="C98" i="60"/>
  <c r="C373" i="60"/>
  <c r="C163" i="60"/>
  <c r="C57" i="60"/>
  <c r="C5" i="60"/>
  <c r="C84" i="60"/>
  <c r="C64" i="60"/>
  <c r="C351" i="60"/>
  <c r="C88" i="60"/>
  <c r="C171" i="60"/>
  <c r="C809" i="60"/>
  <c r="C957" i="60"/>
  <c r="C877" i="60"/>
  <c r="C995" i="60"/>
  <c r="C918" i="60"/>
  <c r="C825" i="60"/>
  <c r="C927" i="60"/>
  <c r="C994" i="60"/>
  <c r="C738" i="60"/>
  <c r="C837" i="60"/>
  <c r="C923" i="60"/>
  <c r="C667" i="60"/>
  <c r="C782" i="60"/>
  <c r="C887" i="60"/>
  <c r="C749" i="60"/>
  <c r="C745" i="60"/>
  <c r="C948" i="60"/>
  <c r="C929" i="60"/>
  <c r="C761" i="60"/>
  <c r="C964" i="60"/>
  <c r="C495" i="60"/>
  <c r="C562" i="60"/>
  <c r="C640" i="60"/>
  <c r="C977" i="60"/>
  <c r="C465" i="60"/>
  <c r="C590" i="60"/>
  <c r="C580" i="60"/>
  <c r="C368" i="60"/>
  <c r="C371" i="60"/>
  <c r="C390" i="60"/>
  <c r="C432" i="60"/>
  <c r="C364" i="60"/>
  <c r="C499" i="60"/>
  <c r="C506" i="60"/>
  <c r="C274" i="60"/>
  <c r="C424" i="60"/>
  <c r="C303" i="60"/>
  <c r="C318" i="60"/>
  <c r="C97" i="60"/>
  <c r="C521" i="60"/>
  <c r="C200" i="60"/>
  <c r="C62" i="60"/>
  <c r="C434" i="60"/>
  <c r="C291" i="60"/>
  <c r="C516" i="60"/>
  <c r="C127" i="60"/>
  <c r="C63" i="60"/>
  <c r="C313" i="60"/>
  <c r="C49" i="60"/>
  <c r="C788" i="60"/>
  <c r="C448" i="60"/>
  <c r="C18" i="60"/>
  <c r="C359" i="60"/>
  <c r="C321" i="60"/>
  <c r="C73" i="60"/>
  <c r="C302" i="60"/>
  <c r="C151" i="60"/>
  <c r="C47" i="60"/>
  <c r="C542" i="60"/>
  <c r="C23" i="60"/>
  <c r="C388" i="60"/>
  <c r="C230" i="60"/>
  <c r="C31" i="60"/>
  <c r="C58" i="60"/>
  <c r="C976" i="60"/>
  <c r="C807" i="60"/>
  <c r="C410" i="60"/>
  <c r="C864" i="60"/>
  <c r="C986" i="60"/>
  <c r="C970" i="60"/>
  <c r="C861" i="60"/>
  <c r="C979" i="60"/>
  <c r="C902" i="60"/>
  <c r="C988" i="60"/>
  <c r="C911" i="60"/>
  <c r="C978" i="60"/>
  <c r="C722" i="60"/>
  <c r="C821" i="60"/>
  <c r="C907" i="60"/>
  <c r="C651" i="60"/>
  <c r="C766" i="60"/>
  <c r="C871" i="60"/>
  <c r="C698" i="60"/>
  <c r="C740" i="60"/>
  <c r="C920" i="60"/>
  <c r="C865" i="60"/>
  <c r="C756" i="60"/>
  <c r="C936" i="60"/>
  <c r="C479" i="60"/>
  <c r="C546" i="60"/>
  <c r="C626" i="60"/>
  <c r="C913" i="60"/>
  <c r="C458" i="60"/>
  <c r="C413" i="60"/>
  <c r="C551" i="60"/>
  <c r="C352" i="60"/>
  <c r="C355" i="60"/>
  <c r="C888" i="60"/>
  <c r="C425" i="60"/>
  <c r="C348" i="60"/>
  <c r="C492" i="60"/>
  <c r="C488" i="60"/>
  <c r="C649" i="60"/>
  <c r="C408" i="60"/>
  <c r="C254" i="60"/>
  <c r="C299" i="60"/>
  <c r="C671" i="60"/>
  <c r="C724" i="60"/>
  <c r="C196" i="60"/>
  <c r="C46" i="60"/>
  <c r="C369" i="60"/>
  <c r="C279" i="60"/>
  <c r="C491" i="60"/>
  <c r="C733" i="60"/>
  <c r="C53" i="60"/>
  <c r="C237" i="60"/>
  <c r="C39" i="60"/>
  <c r="C361" i="60"/>
  <c r="C389" i="60"/>
  <c r="C340" i="60"/>
  <c r="C286" i="60"/>
  <c r="C261" i="60"/>
  <c r="C140" i="60"/>
  <c r="C33" i="60"/>
  <c r="C144" i="60"/>
  <c r="C10" i="60"/>
  <c r="C357" i="60"/>
  <c r="C208" i="60"/>
  <c r="C305" i="60"/>
  <c r="C12" i="60"/>
  <c r="C8" i="60"/>
  <c r="B18" i="59" a="1"/>
  <c r="B18" i="59" s="1"/>
  <c r="B23" i="59" a="1"/>
  <c r="B23" i="59" s="1"/>
  <c r="C23" i="59" a="1"/>
  <c r="C23" i="59" s="1"/>
  <c r="B24" i="59" a="1"/>
  <c r="B24" i="59" s="1"/>
  <c r="C24" i="59" a="1"/>
  <c r="C24" i="59" s="1"/>
  <c r="B25" i="59" a="1"/>
  <c r="B25" i="59" s="1"/>
  <c r="C25" i="59" a="1"/>
  <c r="C25" i="59" s="1"/>
  <c r="B26" i="59" a="1"/>
  <c r="B26" i="59" s="1"/>
  <c r="C26" i="59" a="1"/>
  <c r="C26" i="59" s="1"/>
  <c r="B27" i="59" a="1"/>
  <c r="B27" i="59" s="1"/>
  <c r="C27" i="59" a="1"/>
  <c r="C27" i="59" s="1"/>
  <c r="B28" i="59" a="1"/>
  <c r="B28" i="59" s="1"/>
  <c r="C28" i="59" a="1"/>
  <c r="C28" i="59" s="1"/>
  <c r="B29" i="59" a="1"/>
  <c r="B29" i="59" s="1"/>
  <c r="C29" i="59" a="1"/>
  <c r="C29" i="59" s="1"/>
  <c r="B30" i="59" a="1"/>
  <c r="B30" i="59" s="1"/>
  <c r="C30" i="59" a="1"/>
  <c r="C30" i="59" s="1"/>
  <c r="B31" i="59" a="1"/>
  <c r="B31" i="59" s="1"/>
  <c r="C31" i="59" a="1"/>
  <c r="C31" i="59" s="1"/>
  <c r="B32" i="59" a="1"/>
  <c r="B32" i="59" s="1"/>
  <c r="C32" i="59" a="1"/>
  <c r="C32" i="59" s="1"/>
  <c r="B33" i="59" a="1"/>
  <c r="B33" i="59" s="1"/>
  <c r="C33" i="59" a="1"/>
  <c r="C33" i="59" s="1"/>
  <c r="B34" i="59" a="1"/>
  <c r="B34" i="59" s="1"/>
  <c r="C34" i="59" a="1"/>
  <c r="C34" i="59" s="1"/>
  <c r="B35" i="59" a="1"/>
  <c r="B35" i="59" s="1"/>
  <c r="C35" i="59" a="1"/>
  <c r="C35" i="59" s="1"/>
  <c r="B36" i="59" a="1"/>
  <c r="B36" i="59" s="1"/>
  <c r="C36" i="59" a="1"/>
  <c r="C36" i="59" s="1"/>
  <c r="B37" i="59" a="1"/>
  <c r="B37" i="59" s="1"/>
  <c r="C37" i="59" a="1"/>
  <c r="C37" i="59" s="1"/>
  <c r="B38" i="59" a="1"/>
  <c r="B38" i="59" s="1"/>
  <c r="C38" i="59" a="1"/>
  <c r="C38" i="59" s="1"/>
  <c r="B39" i="59" a="1"/>
  <c r="B39" i="59" s="1"/>
  <c r="C39" i="59" a="1"/>
  <c r="C39" i="59" s="1"/>
  <c r="B40" i="59" a="1"/>
  <c r="B40" i="59" s="1"/>
  <c r="C40" i="59" a="1"/>
  <c r="C40" i="59" s="1"/>
  <c r="B41" i="59" a="1"/>
  <c r="B41" i="59" s="1"/>
  <c r="C41" i="59" a="1"/>
  <c r="C41" i="59" s="1"/>
  <c r="B42" i="59" a="1"/>
  <c r="B42" i="59" s="1"/>
  <c r="C42" i="59" a="1"/>
  <c r="C42" i="59" s="1"/>
  <c r="B43" i="59" a="1"/>
  <c r="B43" i="59" s="1"/>
  <c r="C43" i="59" a="1"/>
  <c r="C43" i="59" s="1"/>
  <c r="B44" i="59" a="1"/>
  <c r="B44" i="59" s="1"/>
  <c r="C44" i="59" a="1"/>
  <c r="C44" i="59" s="1"/>
  <c r="B45" i="59" a="1"/>
  <c r="B45" i="59" s="1"/>
  <c r="C45" i="59" a="1"/>
  <c r="C45" i="59" s="1"/>
  <c r="B46" i="59" a="1"/>
  <c r="B46" i="59" s="1"/>
  <c r="C46" i="59" a="1"/>
  <c r="C46" i="59" s="1"/>
  <c r="B47" i="59" a="1"/>
  <c r="B47" i="59" s="1"/>
  <c r="C47" i="59" a="1"/>
  <c r="C47" i="59" s="1"/>
  <c r="B48" i="59" a="1"/>
  <c r="B48" i="59" s="1"/>
  <c r="C48" i="59" a="1"/>
  <c r="C48" i="59" s="1"/>
  <c r="B49" i="59" a="1"/>
  <c r="B49" i="59" s="1"/>
  <c r="C49" i="59" a="1"/>
  <c r="C49" i="59" s="1"/>
  <c r="B50" i="59" a="1"/>
  <c r="B50" i="59" s="1"/>
  <c r="C50" i="59" a="1"/>
  <c r="C50" i="59" s="1"/>
  <c r="B51" i="59" a="1"/>
  <c r="B51" i="59" s="1"/>
  <c r="C51" i="59" a="1"/>
  <c r="C51" i="59" s="1"/>
  <c r="B52" i="59" a="1"/>
  <c r="B52" i="59" s="1"/>
  <c r="C52" i="59" a="1"/>
  <c r="C52" i="59" s="1"/>
  <c r="B53" i="59" a="1"/>
  <c r="B53" i="59" s="1"/>
  <c r="C53" i="59" a="1"/>
  <c r="C53" i="59" s="1"/>
  <c r="B54" i="59" a="1"/>
  <c r="B54" i="59" s="1"/>
  <c r="C54" i="59" a="1"/>
  <c r="C54" i="59" s="1"/>
  <c r="B55" i="59" a="1"/>
  <c r="B55" i="59" s="1"/>
  <c r="C55" i="59" a="1"/>
  <c r="C55" i="59" s="1"/>
  <c r="B56" i="59" a="1"/>
  <c r="B56" i="59" s="1"/>
  <c r="C56" i="59" a="1"/>
  <c r="C56" i="59" s="1"/>
  <c r="B57" i="59" a="1"/>
  <c r="B57" i="59" s="1"/>
  <c r="C57" i="59" a="1"/>
  <c r="C57" i="59" s="1"/>
  <c r="B58" i="59" a="1"/>
  <c r="B58" i="59" s="1"/>
  <c r="C58" i="59" a="1"/>
  <c r="C58" i="59" s="1"/>
  <c r="B59" i="59" a="1"/>
  <c r="B59" i="59" s="1"/>
  <c r="C59" i="59" a="1"/>
  <c r="C59" i="59" s="1"/>
  <c r="B60" i="59" a="1"/>
  <c r="B60" i="59" s="1"/>
  <c r="C60" i="59" a="1"/>
  <c r="C60" i="59" s="1"/>
  <c r="B61" i="59" a="1"/>
  <c r="B61" i="59" s="1"/>
  <c r="C61" i="59" a="1"/>
  <c r="C61" i="59" s="1"/>
  <c r="B63" i="59" a="1"/>
  <c r="B63" i="59" s="1"/>
  <c r="C63" i="59" a="1"/>
  <c r="C63" i="59" s="1"/>
  <c r="B64" i="59" a="1"/>
  <c r="B64" i="59" s="1"/>
  <c r="C64" i="59" a="1"/>
  <c r="C64" i="59" s="1"/>
  <c r="B65" i="59" a="1"/>
  <c r="B65" i="59" s="1"/>
  <c r="C65" i="59" a="1"/>
  <c r="C65" i="59" s="1"/>
  <c r="B66" i="59" a="1"/>
  <c r="B66" i="59" s="1"/>
  <c r="C66" i="59" a="1"/>
  <c r="C66" i="59" s="1"/>
  <c r="B67" i="59" a="1"/>
  <c r="B67" i="59" s="1"/>
  <c r="C67" i="59" a="1"/>
  <c r="C67" i="59" s="1"/>
  <c r="B68" i="59" a="1"/>
  <c r="B68" i="59" s="1"/>
  <c r="C68" i="59" a="1"/>
  <c r="C68" i="59" s="1"/>
  <c r="B69" i="59" a="1"/>
  <c r="B69" i="59" s="1"/>
  <c r="C69" i="59" a="1"/>
  <c r="C69" i="59" s="1"/>
  <c r="B70" i="59" a="1"/>
  <c r="B70" i="59" s="1"/>
  <c r="C70" i="59" a="1"/>
  <c r="C70" i="59" s="1"/>
  <c r="B71" i="59" a="1"/>
  <c r="B71" i="59" s="1"/>
  <c r="C71" i="59" a="1"/>
  <c r="C71" i="59" s="1"/>
  <c r="B72" i="59" a="1"/>
  <c r="B72" i="59" s="1"/>
  <c r="C72" i="59" a="1"/>
  <c r="C72" i="59" s="1"/>
  <c r="B73" i="59" a="1"/>
  <c r="B73" i="59" s="1"/>
  <c r="C73" i="59" a="1"/>
  <c r="C73" i="59" s="1"/>
  <c r="B74" i="59" a="1"/>
  <c r="B74" i="59" s="1"/>
  <c r="C74" i="59" a="1"/>
  <c r="C74" i="59" s="1"/>
  <c r="B75" i="59" a="1"/>
  <c r="B75" i="59" s="1"/>
  <c r="C75" i="59" a="1"/>
  <c r="C75" i="59" s="1"/>
  <c r="B76" i="59" a="1"/>
  <c r="B76" i="59" s="1"/>
  <c r="C76" i="59" a="1"/>
  <c r="C76" i="59" s="1"/>
  <c r="B77" i="59" a="1"/>
  <c r="B77" i="59" s="1"/>
  <c r="C77" i="59" a="1"/>
  <c r="C77" i="59" s="1"/>
  <c r="B78" i="59" a="1"/>
  <c r="B78" i="59" s="1"/>
  <c r="C78" i="59" a="1"/>
  <c r="C78" i="59" s="1"/>
  <c r="B79" i="59" a="1"/>
  <c r="B79" i="59" s="1"/>
  <c r="C79" i="59" a="1"/>
  <c r="C79" i="59" s="1"/>
  <c r="B80" i="59" a="1"/>
  <c r="B80" i="59" s="1"/>
  <c r="C80" i="59" a="1"/>
  <c r="C80" i="59" s="1"/>
  <c r="B81" i="59" a="1"/>
  <c r="B81" i="59" s="1"/>
  <c r="C81" i="59" a="1"/>
  <c r="C81" i="59" s="1"/>
  <c r="B82" i="59" a="1"/>
  <c r="B82" i="59" s="1"/>
  <c r="C82" i="59" a="1"/>
  <c r="C82" i="59" s="1"/>
  <c r="B83" i="59" a="1"/>
  <c r="B83" i="59" s="1"/>
  <c r="C83" i="59" a="1"/>
  <c r="C83" i="59" s="1"/>
  <c r="B84" i="59" a="1"/>
  <c r="B84" i="59" s="1"/>
  <c r="C84" i="59" a="1"/>
  <c r="C84" i="59" s="1"/>
  <c r="B85" i="59" a="1"/>
  <c r="B85" i="59" s="1"/>
  <c r="C85" i="59" a="1"/>
  <c r="C85" i="59" s="1"/>
  <c r="B86" i="59" a="1"/>
  <c r="B86" i="59" s="1"/>
  <c r="C86" i="59" a="1"/>
  <c r="C86" i="59" s="1"/>
  <c r="B87" i="59" a="1"/>
  <c r="B87" i="59" s="1"/>
  <c r="C87" i="59" a="1"/>
  <c r="C87" i="59" s="1"/>
  <c r="B88" i="59" a="1"/>
  <c r="B88" i="59" s="1"/>
  <c r="C88" i="59" a="1"/>
  <c r="C88" i="59" s="1"/>
  <c r="B89" i="59" a="1"/>
  <c r="B89" i="59" s="1"/>
  <c r="C89" i="59" a="1"/>
  <c r="C89" i="59" s="1"/>
  <c r="B90" i="59" a="1"/>
  <c r="B90" i="59" s="1"/>
  <c r="C90" i="59" a="1"/>
  <c r="C90" i="59" s="1"/>
  <c r="B91" i="59" a="1"/>
  <c r="B91" i="59" s="1"/>
  <c r="C91" i="59" a="1"/>
  <c r="C91" i="59" s="1"/>
  <c r="B92" i="59" a="1"/>
  <c r="B92" i="59" s="1"/>
  <c r="C92" i="59" a="1"/>
  <c r="C92" i="59" s="1"/>
  <c r="B93" i="59" a="1"/>
  <c r="B93" i="59" s="1"/>
  <c r="C93" i="59" a="1"/>
  <c r="C93" i="59" s="1"/>
  <c r="B94" i="59" a="1"/>
  <c r="B94" i="59" s="1"/>
  <c r="C94" i="59" a="1"/>
  <c r="C94" i="59" s="1"/>
  <c r="B95" i="59" a="1"/>
  <c r="B95" i="59" s="1"/>
  <c r="C95" i="59" a="1"/>
  <c r="C95" i="59" s="1"/>
  <c r="B96" i="59" a="1"/>
  <c r="B96" i="59" s="1"/>
  <c r="C96" i="59" a="1"/>
  <c r="C96" i="59" s="1"/>
  <c r="B97" i="59" a="1"/>
  <c r="B97" i="59" s="1"/>
  <c r="C97" i="59" a="1"/>
  <c r="C97" i="59" s="1"/>
  <c r="B98" i="59" a="1"/>
  <c r="B98" i="59" s="1"/>
  <c r="C98" i="59" a="1"/>
  <c r="C98" i="59" s="1"/>
  <c r="B99" i="59" a="1"/>
  <c r="B99" i="59" s="1"/>
  <c r="C99" i="59" a="1"/>
  <c r="C99" i="59" s="1"/>
  <c r="B100" i="59" a="1"/>
  <c r="B100" i="59" s="1"/>
  <c r="C100" i="59" a="1"/>
  <c r="C100" i="59" s="1"/>
  <c r="B101" i="59" a="1"/>
  <c r="B101" i="59" s="1"/>
  <c r="C101" i="59" a="1"/>
  <c r="C101" i="59" s="1"/>
  <c r="B102" i="59" a="1"/>
  <c r="B102" i="59" s="1"/>
  <c r="C102" i="59" a="1"/>
  <c r="C102" i="59" s="1"/>
  <c r="B103" i="59" a="1"/>
  <c r="B103" i="59" s="1"/>
  <c r="C103" i="59" a="1"/>
  <c r="C103" i="59" s="1"/>
  <c r="B104" i="59" a="1"/>
  <c r="B104" i="59" s="1"/>
  <c r="C104" i="59" a="1"/>
  <c r="C104" i="59" s="1"/>
  <c r="B105" i="59" a="1"/>
  <c r="B105" i="59" s="1"/>
  <c r="C105" i="59" a="1"/>
  <c r="C105" i="59" s="1"/>
  <c r="B106" i="59" a="1"/>
  <c r="B106" i="59" s="1"/>
  <c r="C106" i="59" a="1"/>
  <c r="C106" i="59" s="1"/>
  <c r="B107" i="59" a="1"/>
  <c r="B107" i="59" s="1"/>
  <c r="C107" i="59" a="1"/>
  <c r="C107" i="59" s="1"/>
  <c r="B108" i="59" a="1"/>
  <c r="B108" i="59" s="1"/>
  <c r="C108" i="59" a="1"/>
  <c r="C108" i="59" s="1"/>
  <c r="B109" i="59" a="1"/>
  <c r="B109" i="59" s="1"/>
  <c r="C109" i="59" a="1"/>
  <c r="C109" i="59" s="1"/>
  <c r="B110" i="59" a="1"/>
  <c r="B110" i="59" s="1"/>
  <c r="C110" i="59" a="1"/>
  <c r="C110" i="59" s="1"/>
  <c r="B111" i="59" a="1"/>
  <c r="B111" i="59" s="1"/>
  <c r="C111" i="59" a="1"/>
  <c r="C111" i="59" s="1"/>
  <c r="B112" i="59" a="1"/>
  <c r="B112" i="59" s="1"/>
  <c r="C112" i="59" a="1"/>
  <c r="C112" i="59" s="1"/>
  <c r="B113" i="59" a="1"/>
  <c r="B113" i="59" s="1"/>
  <c r="C113" i="59" a="1"/>
  <c r="C113" i="59" s="1"/>
  <c r="B114" i="59" a="1"/>
  <c r="B114" i="59" s="1"/>
  <c r="C114" i="59" a="1"/>
  <c r="C114" i="59" s="1"/>
  <c r="B115" i="59" a="1"/>
  <c r="B115" i="59" s="1"/>
  <c r="C115" i="59" a="1"/>
  <c r="C115" i="59" s="1"/>
  <c r="B116" i="59" a="1"/>
  <c r="B116" i="59" s="1"/>
  <c r="C116" i="59" a="1"/>
  <c r="C116" i="59" s="1"/>
  <c r="B117" i="59" a="1"/>
  <c r="B117" i="59" s="1"/>
  <c r="C117" i="59" a="1"/>
  <c r="C117" i="59" s="1"/>
  <c r="B118" i="59" a="1"/>
  <c r="B118" i="59" s="1"/>
  <c r="C118" i="59" a="1"/>
  <c r="C118" i="59" s="1"/>
  <c r="B119" i="59" a="1"/>
  <c r="B119" i="59" s="1"/>
  <c r="C119" i="59" a="1"/>
  <c r="C119" i="59" s="1"/>
  <c r="B120" i="59" a="1"/>
  <c r="B120" i="59" s="1"/>
  <c r="C120" i="59" a="1"/>
  <c r="C120" i="59" s="1"/>
  <c r="B121" i="59" a="1"/>
  <c r="B121" i="59" s="1"/>
  <c r="C121" i="59" a="1"/>
  <c r="C121" i="59" s="1"/>
  <c r="B122" i="59" a="1"/>
  <c r="B122" i="59" s="1"/>
  <c r="C122" i="59" a="1"/>
  <c r="C122" i="59" s="1"/>
  <c r="B123" i="59" a="1"/>
  <c r="B123" i="59" s="1"/>
  <c r="C123" i="59" a="1"/>
  <c r="C123" i="59" s="1"/>
  <c r="B124" i="59" a="1"/>
  <c r="B124" i="59" s="1"/>
  <c r="C124" i="59" a="1"/>
  <c r="C124" i="59" s="1"/>
  <c r="B125" i="59" a="1"/>
  <c r="B125" i="59" s="1"/>
  <c r="C125" i="59" a="1"/>
  <c r="C125" i="59" s="1"/>
  <c r="B126" i="59" a="1"/>
  <c r="B126" i="59" s="1"/>
  <c r="C126" i="59" a="1"/>
  <c r="C126" i="59" s="1"/>
  <c r="B127" i="59" a="1"/>
  <c r="B127" i="59" s="1"/>
  <c r="C127" i="59" a="1"/>
  <c r="C127" i="59" s="1"/>
  <c r="B128" i="59" a="1"/>
  <c r="B128" i="59" s="1"/>
  <c r="C128" i="59" a="1"/>
  <c r="C128" i="59" s="1"/>
  <c r="B129" i="59" a="1"/>
  <c r="B129" i="59" s="1"/>
  <c r="C129" i="59" a="1"/>
  <c r="C129" i="59" s="1"/>
  <c r="B130" i="59" a="1"/>
  <c r="B130" i="59" s="1"/>
  <c r="C130" i="59" a="1"/>
  <c r="C130" i="59" s="1"/>
  <c r="B131" i="59" a="1"/>
  <c r="B131" i="59" s="1"/>
  <c r="C131" i="59" a="1"/>
  <c r="C131" i="59" s="1"/>
  <c r="B132" i="59" a="1"/>
  <c r="B132" i="59" s="1"/>
  <c r="C132" i="59" a="1"/>
  <c r="C132" i="59" s="1"/>
  <c r="B133" i="59" a="1"/>
  <c r="B133" i="59" s="1"/>
  <c r="C133" i="59" a="1"/>
  <c r="C133" i="59" s="1"/>
  <c r="B134" i="59" a="1"/>
  <c r="B134" i="59" s="1"/>
  <c r="C134" i="59" a="1"/>
  <c r="C134" i="59" s="1"/>
  <c r="B135" i="59" a="1"/>
  <c r="B135" i="59" s="1"/>
  <c r="C135" i="59" a="1"/>
  <c r="C135" i="59" s="1"/>
  <c r="B136" i="59" a="1"/>
  <c r="B136" i="59" s="1"/>
  <c r="C136" i="59" a="1"/>
  <c r="C136" i="59" s="1"/>
  <c r="B137" i="59" a="1"/>
  <c r="B137" i="59" s="1"/>
  <c r="C137" i="59" a="1"/>
  <c r="C137" i="59" s="1"/>
  <c r="B138" i="59" a="1"/>
  <c r="B138" i="59" s="1"/>
  <c r="C138" i="59" a="1"/>
  <c r="C138" i="59" s="1"/>
  <c r="B139" i="59" a="1"/>
  <c r="B139" i="59" s="1"/>
  <c r="C139" i="59" a="1"/>
  <c r="C139" i="59" s="1"/>
  <c r="B140" i="59" a="1"/>
  <c r="B140" i="59" s="1"/>
  <c r="C140" i="59" a="1"/>
  <c r="C140" i="59" s="1"/>
  <c r="B141" i="59" a="1"/>
  <c r="B141" i="59" s="1"/>
  <c r="C141" i="59" a="1"/>
  <c r="C141" i="59" s="1"/>
  <c r="B142" i="59" a="1"/>
  <c r="B142" i="59" s="1"/>
  <c r="C142" i="59" a="1"/>
  <c r="C142" i="59" s="1"/>
  <c r="B143" i="59" a="1"/>
  <c r="B143" i="59" s="1"/>
  <c r="C143" i="59" a="1"/>
  <c r="C143" i="59" s="1"/>
  <c r="B144" i="59" a="1"/>
  <c r="B144" i="59" s="1"/>
  <c r="C144" i="59" a="1"/>
  <c r="C144" i="59" s="1"/>
  <c r="B145" i="59" a="1"/>
  <c r="B145" i="59" s="1"/>
  <c r="C145" i="59" a="1"/>
  <c r="C145" i="59" s="1"/>
  <c r="B146" i="59" a="1"/>
  <c r="B146" i="59" s="1"/>
  <c r="C146" i="59" a="1"/>
  <c r="C146" i="59" s="1"/>
  <c r="B147" i="59" a="1"/>
  <c r="B147" i="59" s="1"/>
  <c r="C147" i="59" a="1"/>
  <c r="C147" i="59" s="1"/>
  <c r="B148" i="59" a="1"/>
  <c r="B148" i="59" s="1"/>
  <c r="C148" i="59" a="1"/>
  <c r="C148" i="59" s="1"/>
  <c r="B149" i="59" a="1"/>
  <c r="B149" i="59" s="1"/>
  <c r="C149" i="59" a="1"/>
  <c r="C149" i="59" s="1"/>
  <c r="B150" i="59" a="1"/>
  <c r="B150" i="59" s="1"/>
  <c r="C150" i="59" a="1"/>
  <c r="C150" i="59" s="1"/>
  <c r="B151" i="59" a="1"/>
  <c r="B151" i="59" s="1"/>
  <c r="C151" i="59" a="1"/>
  <c r="C151" i="59" s="1"/>
  <c r="B152" i="59" a="1"/>
  <c r="B152" i="59" s="1"/>
  <c r="C152" i="59" a="1"/>
  <c r="C152" i="59" s="1"/>
  <c r="B153" i="59" a="1"/>
  <c r="B153" i="59" s="1"/>
  <c r="C153" i="59" a="1"/>
  <c r="C153" i="59" s="1"/>
  <c r="B154" i="59" a="1"/>
  <c r="B154" i="59" s="1"/>
  <c r="C154" i="59" a="1"/>
  <c r="C154" i="59" s="1"/>
  <c r="B155" i="59" a="1"/>
  <c r="B155" i="59" s="1"/>
  <c r="C155" i="59" a="1"/>
  <c r="C155" i="59" s="1"/>
  <c r="B156" i="59" a="1"/>
  <c r="B156" i="59" s="1"/>
  <c r="C156" i="59" a="1"/>
  <c r="C156" i="59" s="1"/>
  <c r="B157" i="59" a="1"/>
  <c r="B157" i="59" s="1"/>
  <c r="C157" i="59" a="1"/>
  <c r="C157" i="59" s="1"/>
  <c r="B158" i="59" a="1"/>
  <c r="B158" i="59" s="1"/>
  <c r="C158" i="59" a="1"/>
  <c r="C158" i="59" s="1"/>
  <c r="B159" i="59" a="1"/>
  <c r="B159" i="59" s="1"/>
  <c r="C159" i="59" a="1"/>
  <c r="C159" i="59" s="1"/>
  <c r="B160" i="59" a="1"/>
  <c r="B160" i="59" s="1"/>
  <c r="C160" i="59" a="1"/>
  <c r="C160" i="59" s="1"/>
  <c r="B161" i="59" a="1"/>
  <c r="B161" i="59" s="1"/>
  <c r="C161" i="59" a="1"/>
  <c r="C161" i="59" s="1"/>
  <c r="B162" i="59" a="1"/>
  <c r="B162" i="59" s="1"/>
  <c r="C162" i="59" a="1"/>
  <c r="C162" i="59" s="1"/>
  <c r="B163" i="59" a="1"/>
  <c r="B163" i="59" s="1"/>
  <c r="C163" i="59" a="1"/>
  <c r="C163" i="59" s="1"/>
  <c r="B164" i="59" a="1"/>
  <c r="B164" i="59" s="1"/>
  <c r="C164" i="59" a="1"/>
  <c r="C164" i="59" s="1"/>
  <c r="B165" i="59" a="1"/>
  <c r="B165" i="59" s="1"/>
  <c r="C165" i="59" a="1"/>
  <c r="C165" i="59" s="1"/>
  <c r="B166" i="59" a="1"/>
  <c r="B166" i="59" s="1"/>
  <c r="C166" i="59" a="1"/>
  <c r="C166" i="59" s="1"/>
  <c r="B167" i="59" a="1"/>
  <c r="B167" i="59" s="1"/>
  <c r="C167" i="59" a="1"/>
  <c r="C167" i="59" s="1"/>
  <c r="B168" i="59" a="1"/>
  <c r="B168" i="59" s="1"/>
  <c r="C168" i="59" a="1"/>
  <c r="C168" i="59" s="1"/>
  <c r="B169" i="59" a="1"/>
  <c r="B169" i="59" s="1"/>
  <c r="C169" i="59" a="1"/>
  <c r="C169" i="59" s="1"/>
  <c r="B170" i="59" a="1"/>
  <c r="B170" i="59" s="1"/>
  <c r="C170" i="59" a="1"/>
  <c r="C170" i="59" s="1"/>
  <c r="B171" i="59" a="1"/>
  <c r="B171" i="59" s="1"/>
  <c r="C171" i="59" a="1"/>
  <c r="C171" i="59" s="1"/>
  <c r="B172" i="59" a="1"/>
  <c r="B172" i="59" s="1"/>
  <c r="C172" i="59" a="1"/>
  <c r="C172" i="59" s="1"/>
  <c r="B173" i="59" a="1"/>
  <c r="B173" i="59" s="1"/>
  <c r="C173" i="59" a="1"/>
  <c r="C173" i="59" s="1"/>
  <c r="B174" i="59" a="1"/>
  <c r="B174" i="59" s="1"/>
  <c r="C174" i="59" a="1"/>
  <c r="C174" i="59" s="1"/>
  <c r="B175" i="59" a="1"/>
  <c r="B175" i="59" s="1"/>
  <c r="C175" i="59" a="1"/>
  <c r="C175" i="59" s="1"/>
  <c r="B176" i="59" a="1"/>
  <c r="B176" i="59" s="1"/>
  <c r="C176" i="59" a="1"/>
  <c r="C176" i="59" s="1"/>
  <c r="B177" i="59" a="1"/>
  <c r="B177" i="59" s="1"/>
  <c r="C177" i="59" a="1"/>
  <c r="C177" i="59" s="1"/>
  <c r="B178" i="59" a="1"/>
  <c r="B178" i="59" s="1"/>
  <c r="C178" i="59" a="1"/>
  <c r="C178" i="59" s="1"/>
  <c r="B179" i="59" a="1"/>
  <c r="B179" i="59" s="1"/>
  <c r="C179" i="59" a="1"/>
  <c r="C179" i="59" s="1"/>
  <c r="B180" i="59" a="1"/>
  <c r="B180" i="59" s="1"/>
  <c r="C180" i="59" a="1"/>
  <c r="C180" i="59" s="1"/>
  <c r="B181" i="59" a="1"/>
  <c r="B181" i="59" s="1"/>
  <c r="C181" i="59" a="1"/>
  <c r="C181" i="59" s="1"/>
  <c r="B182" i="59" a="1"/>
  <c r="B182" i="59" s="1"/>
  <c r="C182" i="59" a="1"/>
  <c r="C182" i="59" s="1"/>
  <c r="B183" i="59" a="1"/>
  <c r="B183" i="59" s="1"/>
  <c r="C183" i="59" a="1"/>
  <c r="C183" i="59" s="1"/>
  <c r="B184" i="59" a="1"/>
  <c r="B184" i="59" s="1"/>
  <c r="C184" i="59" a="1"/>
  <c r="C184" i="59" s="1"/>
  <c r="B185" i="59" a="1"/>
  <c r="B185" i="59" s="1"/>
  <c r="C185" i="59" a="1"/>
  <c r="C185" i="59" s="1"/>
  <c r="B186" i="59" a="1"/>
  <c r="B186" i="59" s="1"/>
  <c r="C186" i="59" a="1"/>
  <c r="C186" i="59" s="1"/>
  <c r="B187" i="59" a="1"/>
  <c r="B187" i="59" s="1"/>
  <c r="C187" i="59" a="1"/>
  <c r="C187" i="59" s="1"/>
  <c r="B188" i="59" a="1"/>
  <c r="B188" i="59" s="1"/>
  <c r="C188" i="59" a="1"/>
  <c r="C188" i="59" s="1"/>
  <c r="B189" i="59" a="1"/>
  <c r="B189" i="59" s="1"/>
  <c r="C189" i="59" a="1"/>
  <c r="C189" i="59" s="1"/>
  <c r="B190" i="59" a="1"/>
  <c r="B190" i="59" s="1"/>
  <c r="C190" i="59" a="1"/>
  <c r="C190" i="59" s="1"/>
  <c r="B191" i="59" a="1"/>
  <c r="B191" i="59" s="1"/>
  <c r="C191" i="59" a="1"/>
  <c r="C191" i="59" s="1"/>
  <c r="B192" i="59" a="1"/>
  <c r="B192" i="59" s="1"/>
  <c r="C192" i="59" a="1"/>
  <c r="C192" i="59" s="1"/>
  <c r="B193" i="59" a="1"/>
  <c r="B193" i="59" s="1"/>
  <c r="C193" i="59" a="1"/>
  <c r="C193" i="59" s="1"/>
  <c r="B194" i="59" a="1"/>
  <c r="B194" i="59" s="1"/>
  <c r="C194" i="59" a="1"/>
  <c r="C194" i="59" s="1"/>
  <c r="B195" i="59" a="1"/>
  <c r="B195" i="59" s="1"/>
  <c r="C195" i="59" a="1"/>
  <c r="C195" i="59" s="1"/>
  <c r="B196" i="59" a="1"/>
  <c r="B196" i="59" s="1"/>
  <c r="C196" i="59" a="1"/>
  <c r="C196" i="59" s="1"/>
  <c r="B197" i="59" a="1"/>
  <c r="B197" i="59" s="1"/>
  <c r="C197" i="59" a="1"/>
  <c r="C197" i="59" s="1"/>
  <c r="B198" i="59" a="1"/>
  <c r="B198" i="59" s="1"/>
  <c r="C198" i="59" a="1"/>
  <c r="C198" i="59" s="1"/>
  <c r="B199" i="59" a="1"/>
  <c r="B199" i="59" s="1"/>
  <c r="C199" i="59" a="1"/>
  <c r="C199" i="59" s="1"/>
  <c r="B200" i="59" a="1"/>
  <c r="B200" i="59" s="1"/>
  <c r="C200" i="59" a="1"/>
  <c r="C200" i="59" s="1"/>
  <c r="B201" i="59" a="1"/>
  <c r="B201" i="59" s="1"/>
  <c r="C201" i="59" a="1"/>
  <c r="C201" i="59" s="1"/>
  <c r="B202" i="59" a="1"/>
  <c r="B202" i="59" s="1"/>
  <c r="C202" i="59" a="1"/>
  <c r="C202" i="59" s="1"/>
  <c r="B203" i="59" a="1"/>
  <c r="B203" i="59" s="1"/>
  <c r="C203" i="59" a="1"/>
  <c r="C203" i="59" s="1"/>
  <c r="B204" i="59" a="1"/>
  <c r="B204" i="59" s="1"/>
  <c r="C204" i="59" a="1"/>
  <c r="C204" i="59" s="1"/>
  <c r="B205" i="59" a="1"/>
  <c r="B205" i="59" s="1"/>
  <c r="C205" i="59" a="1"/>
  <c r="C205" i="59" s="1"/>
  <c r="B206" i="59" a="1"/>
  <c r="B206" i="59" s="1"/>
  <c r="C206" i="59" a="1"/>
  <c r="C206" i="59" s="1"/>
  <c r="B207" i="59" a="1"/>
  <c r="B207" i="59" s="1"/>
  <c r="C207" i="59" a="1"/>
  <c r="C207" i="59" s="1"/>
  <c r="B208" i="59" a="1"/>
  <c r="B208" i="59" s="1"/>
  <c r="C208" i="59" a="1"/>
  <c r="C208" i="59" s="1"/>
  <c r="B209" i="59" a="1"/>
  <c r="B209" i="59" s="1"/>
  <c r="C209" i="59" a="1"/>
  <c r="C209" i="59" s="1"/>
  <c r="B210" i="59" a="1"/>
  <c r="B210" i="59" s="1"/>
  <c r="C210" i="59" a="1"/>
  <c r="C210" i="59" s="1"/>
  <c r="B211" i="59" a="1"/>
  <c r="B211" i="59" s="1"/>
  <c r="C211" i="59" a="1"/>
  <c r="C211" i="59" s="1"/>
  <c r="B212" i="59" a="1"/>
  <c r="B212" i="59" s="1"/>
  <c r="C212" i="59" a="1"/>
  <c r="C212" i="59" s="1"/>
  <c r="B213" i="59" a="1"/>
  <c r="B213" i="59" s="1"/>
  <c r="C213" i="59" a="1"/>
  <c r="C213" i="59" s="1"/>
  <c r="B214" i="59" a="1"/>
  <c r="B214" i="59" s="1"/>
  <c r="C214" i="59" a="1"/>
  <c r="C214" i="59" s="1"/>
  <c r="B215" i="59" a="1"/>
  <c r="B215" i="59" s="1"/>
  <c r="C215" i="59" a="1"/>
  <c r="C215" i="59" s="1"/>
  <c r="B216" i="59" a="1"/>
  <c r="B216" i="59" s="1"/>
  <c r="C216" i="59" a="1"/>
  <c r="C216" i="59" s="1"/>
  <c r="B217" i="59" a="1"/>
  <c r="B217" i="59" s="1"/>
  <c r="C217" i="59" a="1"/>
  <c r="C217" i="59" s="1"/>
  <c r="B218" i="59" a="1"/>
  <c r="B218" i="59" s="1"/>
  <c r="C218" i="59" a="1"/>
  <c r="C218" i="59" s="1"/>
  <c r="B219" i="59" a="1"/>
  <c r="B219" i="59" s="1"/>
  <c r="C219" i="59" a="1"/>
  <c r="C219" i="59" s="1"/>
  <c r="B220" i="59" a="1"/>
  <c r="B220" i="59" s="1"/>
  <c r="C220" i="59" a="1"/>
  <c r="C220" i="59" s="1"/>
  <c r="B221" i="59" a="1"/>
  <c r="B221" i="59" s="1"/>
  <c r="C221" i="59" a="1"/>
  <c r="C221" i="59" s="1"/>
  <c r="B222" i="59" a="1"/>
  <c r="B222" i="59" s="1"/>
  <c r="C222" i="59" a="1"/>
  <c r="C222" i="59" s="1"/>
  <c r="B223" i="59" a="1"/>
  <c r="B223" i="59" s="1"/>
  <c r="C223" i="59" a="1"/>
  <c r="C223" i="59" s="1"/>
  <c r="B224" i="59" a="1"/>
  <c r="B224" i="59" s="1"/>
  <c r="C224" i="59" a="1"/>
  <c r="C224" i="59" s="1"/>
  <c r="B225" i="59" a="1"/>
  <c r="B225" i="59" s="1"/>
  <c r="C225" i="59" a="1"/>
  <c r="C225" i="59" s="1"/>
  <c r="B226" i="59" a="1"/>
  <c r="B226" i="59" s="1"/>
  <c r="C226" i="59" a="1"/>
  <c r="C226" i="59" s="1"/>
  <c r="B227" i="59" a="1"/>
  <c r="B227" i="59" s="1"/>
  <c r="C227" i="59" a="1"/>
  <c r="C227" i="59" s="1"/>
  <c r="B228" i="59" a="1"/>
  <c r="B228" i="59" s="1"/>
  <c r="C228" i="59" a="1"/>
  <c r="C228" i="59" s="1"/>
  <c r="B229" i="59" a="1"/>
  <c r="B229" i="59" s="1"/>
  <c r="C229" i="59" a="1"/>
  <c r="C229" i="59" s="1"/>
  <c r="B230" i="59" a="1"/>
  <c r="B230" i="59" s="1"/>
  <c r="C230" i="59" a="1"/>
  <c r="C230" i="59" s="1"/>
  <c r="B231" i="59" a="1"/>
  <c r="B231" i="59" s="1"/>
  <c r="C231" i="59" a="1"/>
  <c r="C231" i="59" s="1"/>
  <c r="B232" i="59" a="1"/>
  <c r="B232" i="59" s="1"/>
  <c r="C232" i="59" a="1"/>
  <c r="C232" i="59" s="1"/>
  <c r="B233" i="59" a="1"/>
  <c r="B233" i="59" s="1"/>
  <c r="C233" i="59" a="1"/>
  <c r="C233" i="59" s="1"/>
  <c r="B234" i="59" a="1"/>
  <c r="B234" i="59" s="1"/>
  <c r="C234" i="59" a="1"/>
  <c r="C234" i="59" s="1"/>
  <c r="B235" i="59" a="1"/>
  <c r="B235" i="59" s="1"/>
  <c r="C235" i="59" a="1"/>
  <c r="C235" i="59" s="1"/>
  <c r="B236" i="59" a="1"/>
  <c r="B236" i="59" s="1"/>
  <c r="C236" i="59" a="1"/>
  <c r="C236" i="59" s="1"/>
  <c r="B237" i="59" a="1"/>
  <c r="B237" i="59" s="1"/>
  <c r="C237" i="59" a="1"/>
  <c r="C237" i="59" s="1"/>
  <c r="B238" i="59" a="1"/>
  <c r="B238" i="59" s="1"/>
  <c r="C238" i="59" a="1"/>
  <c r="C238" i="59" s="1"/>
  <c r="B239" i="59" a="1"/>
  <c r="B239" i="59" s="1"/>
  <c r="C239" i="59" a="1"/>
  <c r="C239" i="59" s="1"/>
  <c r="B240" i="59" a="1"/>
  <c r="B240" i="59" s="1"/>
  <c r="C240" i="59" a="1"/>
  <c r="C240" i="59" s="1"/>
  <c r="B241" i="59" a="1"/>
  <c r="B241" i="59" s="1"/>
  <c r="C241" i="59" a="1"/>
  <c r="C241" i="59" s="1"/>
  <c r="B242" i="59" a="1"/>
  <c r="B242" i="59" s="1"/>
  <c r="C242" i="59" a="1"/>
  <c r="C242" i="59" s="1"/>
  <c r="B243" i="59" a="1"/>
  <c r="B243" i="59" s="1"/>
  <c r="C243" i="59" a="1"/>
  <c r="C243" i="59" s="1"/>
  <c r="B244" i="59" a="1"/>
  <c r="B244" i="59" s="1"/>
  <c r="C244" i="59" a="1"/>
  <c r="C244" i="59" s="1"/>
  <c r="B245" i="59" a="1"/>
  <c r="B245" i="59" s="1"/>
  <c r="C245" i="59" a="1"/>
  <c r="C245" i="59" s="1"/>
  <c r="B246" i="59" a="1"/>
  <c r="B246" i="59" s="1"/>
  <c r="C246" i="59" a="1"/>
  <c r="C246" i="59" s="1"/>
  <c r="B247" i="59" a="1"/>
  <c r="B247" i="59" s="1"/>
  <c r="C247" i="59" a="1"/>
  <c r="C247" i="59" s="1"/>
  <c r="B248" i="59" a="1"/>
  <c r="B248" i="59" s="1"/>
  <c r="C248" i="59" a="1"/>
  <c r="C248" i="59" s="1"/>
  <c r="B249" i="59" a="1"/>
  <c r="B249" i="59" s="1"/>
  <c r="C249" i="59" a="1"/>
  <c r="C249" i="59" s="1"/>
  <c r="B250" i="59" a="1"/>
  <c r="B250" i="59" s="1"/>
  <c r="C250" i="59" a="1"/>
  <c r="C250" i="59" s="1"/>
  <c r="B251" i="59" a="1"/>
  <c r="B251" i="59" s="1"/>
  <c r="C251" i="59" a="1"/>
  <c r="C251" i="59" s="1"/>
  <c r="B252" i="59" a="1"/>
  <c r="B252" i="59" s="1"/>
  <c r="C252" i="59" a="1"/>
  <c r="C252" i="59" s="1"/>
  <c r="B253" i="59" a="1"/>
  <c r="B253" i="59" s="1"/>
  <c r="C253" i="59" a="1"/>
  <c r="C253" i="59" s="1"/>
  <c r="B254" i="59" a="1"/>
  <c r="B254" i="59" s="1"/>
  <c r="C254" i="59" a="1"/>
  <c r="C254" i="59" s="1"/>
  <c r="B255" i="59" a="1"/>
  <c r="B255" i="59" s="1"/>
  <c r="C255" i="59" a="1"/>
  <c r="C255" i="59" s="1"/>
  <c r="B256" i="59" a="1"/>
  <c r="B256" i="59" s="1"/>
  <c r="C256" i="59" a="1"/>
  <c r="C256" i="59" s="1"/>
  <c r="B257" i="59" a="1"/>
  <c r="B257" i="59" s="1"/>
  <c r="C257" i="59" a="1"/>
  <c r="C257" i="59" s="1"/>
  <c r="B258" i="59" a="1"/>
  <c r="B258" i="59" s="1"/>
  <c r="C258" i="59" a="1"/>
  <c r="C258" i="59" s="1"/>
  <c r="B259" i="59" a="1"/>
  <c r="B259" i="59" s="1"/>
  <c r="C259" i="59" a="1"/>
  <c r="C259" i="59" s="1"/>
  <c r="B260" i="59" a="1"/>
  <c r="B260" i="59" s="1"/>
  <c r="C260" i="59" a="1"/>
  <c r="C260" i="59" s="1"/>
  <c r="B261" i="59" a="1"/>
  <c r="B261" i="59" s="1"/>
  <c r="C261" i="59" a="1"/>
  <c r="C261" i="59" s="1"/>
  <c r="B262" i="59" a="1"/>
  <c r="B262" i="59" s="1"/>
  <c r="C262" i="59" a="1"/>
  <c r="C262" i="59" s="1"/>
  <c r="B263" i="59" a="1"/>
  <c r="B263" i="59" s="1"/>
  <c r="C263" i="59" a="1"/>
  <c r="C263" i="59" s="1"/>
  <c r="B264" i="59" a="1"/>
  <c r="B264" i="59" s="1"/>
  <c r="C264" i="59" a="1"/>
  <c r="C264" i="59" s="1"/>
  <c r="B265" i="59" a="1"/>
  <c r="B265" i="59" s="1"/>
  <c r="C265" i="59" a="1"/>
  <c r="C265" i="59" s="1"/>
  <c r="B266" i="59" a="1"/>
  <c r="B266" i="59" s="1"/>
  <c r="C266" i="59" a="1"/>
  <c r="C266" i="59" s="1"/>
  <c r="B267" i="59" a="1"/>
  <c r="B267" i="59" s="1"/>
  <c r="C267" i="59" a="1"/>
  <c r="C267" i="59" s="1"/>
  <c r="B268" i="59" a="1"/>
  <c r="B268" i="59" s="1"/>
  <c r="C268" i="59" a="1"/>
  <c r="C268" i="59" s="1"/>
  <c r="B269" i="59" a="1"/>
  <c r="B269" i="59" s="1"/>
  <c r="C269" i="59" a="1"/>
  <c r="C269" i="59" s="1"/>
  <c r="B270" i="59" a="1"/>
  <c r="B270" i="59" s="1"/>
  <c r="C270" i="59" a="1"/>
  <c r="C270" i="59" s="1"/>
  <c r="B271" i="59" a="1"/>
  <c r="B271" i="59" s="1"/>
  <c r="C271" i="59" a="1"/>
  <c r="C271" i="59" s="1"/>
  <c r="B272" i="59" a="1"/>
  <c r="B272" i="59" s="1"/>
  <c r="C272" i="59" a="1"/>
  <c r="C272" i="59" s="1"/>
  <c r="B273" i="59" a="1"/>
  <c r="B273" i="59" s="1"/>
  <c r="C273" i="59" a="1"/>
  <c r="C273" i="59" s="1"/>
  <c r="B274" i="59" a="1"/>
  <c r="B274" i="59" s="1"/>
  <c r="C274" i="59" a="1"/>
  <c r="C274" i="59" s="1"/>
  <c r="B275" i="59" a="1"/>
  <c r="B275" i="59" s="1"/>
  <c r="C275" i="59" a="1"/>
  <c r="C275" i="59" s="1"/>
  <c r="B276" i="59" a="1"/>
  <c r="B276" i="59" s="1"/>
  <c r="C276" i="59" a="1"/>
  <c r="C276" i="59" s="1"/>
  <c r="B277" i="59" a="1"/>
  <c r="B277" i="59" s="1"/>
  <c r="C277" i="59" a="1"/>
  <c r="C277" i="59" s="1"/>
  <c r="B278" i="59" a="1"/>
  <c r="B278" i="59" s="1"/>
  <c r="C278" i="59" a="1"/>
  <c r="C278" i="59" s="1"/>
  <c r="B279" i="59" a="1"/>
  <c r="B279" i="59" s="1"/>
  <c r="C279" i="59" a="1"/>
  <c r="C279" i="59" s="1"/>
  <c r="B280" i="59" a="1"/>
  <c r="B280" i="59" s="1"/>
  <c r="C280" i="59" a="1"/>
  <c r="C280" i="59" s="1"/>
  <c r="B281" i="59" a="1"/>
  <c r="B281" i="59" s="1"/>
  <c r="C281" i="59" a="1"/>
  <c r="C281" i="59" s="1"/>
  <c r="B282" i="59" a="1"/>
  <c r="B282" i="59" s="1"/>
  <c r="C282" i="59" a="1"/>
  <c r="C282" i="59" s="1"/>
  <c r="B283" i="59" a="1"/>
  <c r="B283" i="59" s="1"/>
  <c r="C283" i="59" a="1"/>
  <c r="C283" i="59" s="1"/>
  <c r="B284" i="59" a="1"/>
  <c r="B284" i="59" s="1"/>
  <c r="C284" i="59" a="1"/>
  <c r="C284" i="59" s="1"/>
  <c r="B285" i="59" a="1"/>
  <c r="B285" i="59" s="1"/>
  <c r="C285" i="59" a="1"/>
  <c r="C285" i="59" s="1"/>
  <c r="B286" i="59" a="1"/>
  <c r="B286" i="59" s="1"/>
  <c r="C286" i="59" a="1"/>
  <c r="C286" i="59" s="1"/>
  <c r="B287" i="59" a="1"/>
  <c r="B287" i="59" s="1"/>
  <c r="C287" i="59" a="1"/>
  <c r="C287" i="59" s="1"/>
  <c r="B288" i="59" a="1"/>
  <c r="B288" i="59" s="1"/>
  <c r="C288" i="59" a="1"/>
  <c r="C288" i="59" s="1"/>
  <c r="B289" i="59" a="1"/>
  <c r="B289" i="59" s="1"/>
  <c r="C289" i="59" a="1"/>
  <c r="C289" i="59" s="1"/>
  <c r="B290" i="59" a="1"/>
  <c r="B290" i="59" s="1"/>
  <c r="C290" i="59" a="1"/>
  <c r="C290" i="59" s="1"/>
  <c r="B291" i="59" a="1"/>
  <c r="B291" i="59" s="1"/>
  <c r="C291" i="59" a="1"/>
  <c r="C291" i="59" s="1"/>
  <c r="B292" i="59" a="1"/>
  <c r="B292" i="59" s="1"/>
  <c r="C292" i="59" a="1"/>
  <c r="C292" i="59" s="1"/>
  <c r="B293" i="59" a="1"/>
  <c r="B293" i="59" s="1"/>
  <c r="C293" i="59" a="1"/>
  <c r="C293" i="59" s="1"/>
  <c r="B294" i="59" a="1"/>
  <c r="B294" i="59" s="1"/>
  <c r="C294" i="59" a="1"/>
  <c r="C294" i="59" s="1"/>
  <c r="B295" i="59" a="1"/>
  <c r="B295" i="59" s="1"/>
  <c r="C295" i="59" a="1"/>
  <c r="C295" i="59" s="1"/>
  <c r="B296" i="59" a="1"/>
  <c r="B296" i="59" s="1"/>
  <c r="C296" i="59" a="1"/>
  <c r="C296" i="59" s="1"/>
  <c r="B297" i="59" a="1"/>
  <c r="B297" i="59" s="1"/>
  <c r="C297" i="59" a="1"/>
  <c r="C297" i="59" s="1"/>
  <c r="B298" i="59" a="1"/>
  <c r="B298" i="59" s="1"/>
  <c r="C298" i="59" a="1"/>
  <c r="C298" i="59" s="1"/>
  <c r="B299" i="59" a="1"/>
  <c r="B299" i="59" s="1"/>
  <c r="C299" i="59" a="1"/>
  <c r="C299" i="59" s="1"/>
  <c r="B300" i="59" a="1"/>
  <c r="B300" i="59" s="1"/>
  <c r="C300" i="59" a="1"/>
  <c r="C300" i="59" s="1"/>
  <c r="B301" i="59" a="1"/>
  <c r="B301" i="59" s="1"/>
  <c r="C301" i="59" a="1"/>
  <c r="C301" i="59" s="1"/>
  <c r="B302" i="59" a="1"/>
  <c r="B302" i="59" s="1"/>
  <c r="C302" i="59" a="1"/>
  <c r="C302" i="59" s="1"/>
  <c r="B303" i="59" a="1"/>
  <c r="B303" i="59" s="1"/>
  <c r="C303" i="59" a="1"/>
  <c r="C303" i="59" s="1"/>
  <c r="B304" i="59" a="1"/>
  <c r="B304" i="59" s="1"/>
  <c r="C304" i="59" a="1"/>
  <c r="C304" i="59" s="1"/>
  <c r="B305" i="59" a="1"/>
  <c r="B305" i="59" s="1"/>
  <c r="C305" i="59" a="1"/>
  <c r="C305" i="59" s="1"/>
  <c r="B306" i="59" a="1"/>
  <c r="B306" i="59" s="1"/>
  <c r="C306" i="59" a="1"/>
  <c r="C306" i="59" s="1"/>
  <c r="B307" i="59" a="1"/>
  <c r="B307" i="59" s="1"/>
  <c r="C307" i="59" a="1"/>
  <c r="C307" i="59" s="1"/>
  <c r="B308" i="59" a="1"/>
  <c r="B308" i="59" s="1"/>
  <c r="C308" i="59" a="1"/>
  <c r="C308" i="59" s="1"/>
  <c r="B309" i="59" a="1"/>
  <c r="B309" i="59" s="1"/>
  <c r="C309" i="59" a="1"/>
  <c r="C309" i="59" s="1"/>
  <c r="B310" i="59" a="1"/>
  <c r="B310" i="59" s="1"/>
  <c r="C310" i="59" a="1"/>
  <c r="C310" i="59" s="1"/>
  <c r="B311" i="59" a="1"/>
  <c r="B311" i="59" s="1"/>
  <c r="C311" i="59" a="1"/>
  <c r="C311" i="59" s="1"/>
  <c r="B312" i="59" a="1"/>
  <c r="B312" i="59" s="1"/>
  <c r="C312" i="59" a="1"/>
  <c r="C312" i="59" s="1"/>
  <c r="B313" i="59" a="1"/>
  <c r="B313" i="59" s="1"/>
  <c r="C313" i="59" a="1"/>
  <c r="C313" i="59" s="1"/>
  <c r="B314" i="59" a="1"/>
  <c r="B314" i="59" s="1"/>
  <c r="C314" i="59" a="1"/>
  <c r="C314" i="59" s="1"/>
  <c r="B315" i="59" a="1"/>
  <c r="B315" i="59" s="1"/>
  <c r="C315" i="59" a="1"/>
  <c r="C315" i="59" s="1"/>
  <c r="B316" i="59" a="1"/>
  <c r="B316" i="59" s="1"/>
  <c r="C316" i="59" a="1"/>
  <c r="C316" i="59" s="1"/>
  <c r="B317" i="59" a="1"/>
  <c r="B317" i="59" s="1"/>
  <c r="C317" i="59" a="1"/>
  <c r="C317" i="59" s="1"/>
  <c r="B318" i="59" a="1"/>
  <c r="B318" i="59" s="1"/>
  <c r="C318" i="59" a="1"/>
  <c r="C318" i="59" s="1"/>
  <c r="B319" i="59" a="1"/>
  <c r="B319" i="59" s="1"/>
  <c r="C319" i="59" a="1"/>
  <c r="C319" i="59" s="1"/>
  <c r="B320" i="59" a="1"/>
  <c r="B320" i="59" s="1"/>
  <c r="C320" i="59" a="1"/>
  <c r="C320" i="59" s="1"/>
  <c r="B321" i="59" a="1"/>
  <c r="B321" i="59" s="1"/>
  <c r="C321" i="59" a="1"/>
  <c r="C321" i="59" s="1"/>
  <c r="B322" i="59" a="1"/>
  <c r="B322" i="59" s="1"/>
  <c r="C322" i="59" a="1"/>
  <c r="C322" i="59" s="1"/>
  <c r="B323" i="59" a="1"/>
  <c r="B323" i="59" s="1"/>
  <c r="C323" i="59" a="1"/>
  <c r="C323" i="59" s="1"/>
  <c r="C18" i="59" a="1"/>
  <c r="C18" i="59" s="1"/>
  <c r="B19" i="59" a="1"/>
  <c r="B19" i="59" s="1"/>
  <c r="C19" i="59" a="1"/>
  <c r="C19" i="59" s="1"/>
  <c r="B20" i="59" a="1"/>
  <c r="B20" i="59" s="1"/>
  <c r="C20" i="59" a="1"/>
  <c r="C20" i="59" s="1"/>
  <c r="B21" i="59" a="1"/>
  <c r="B21" i="59" s="1"/>
  <c r="C21" i="59" a="1"/>
  <c r="C21" i="59" s="1"/>
  <c r="B22" i="59" a="1"/>
  <c r="B22" i="59" s="1"/>
  <c r="C22" i="59" a="1"/>
  <c r="C22" i="59" s="1"/>
  <c r="B17" i="59" a="1"/>
  <c r="B17" i="59" s="1"/>
  <c r="D4" i="60" l="1"/>
  <c r="D486" i="60"/>
  <c r="D584" i="60"/>
  <c r="D497" i="60"/>
  <c r="D2" i="60"/>
  <c r="D3" i="60"/>
  <c r="D137" i="60"/>
  <c r="D707" i="60"/>
  <c r="D40" i="60"/>
  <c r="D37" i="60"/>
  <c r="D305" i="60"/>
  <c r="D47" i="60"/>
  <c r="D343" i="60"/>
  <c r="D402" i="60"/>
  <c r="D698" i="60"/>
  <c r="D725" i="60"/>
  <c r="D547" i="60"/>
  <c r="D562" i="60"/>
  <c r="D867" i="60"/>
  <c r="D905" i="60"/>
  <c r="D828" i="60"/>
  <c r="D914" i="60"/>
  <c r="D984" i="60"/>
  <c r="D728" i="60"/>
  <c r="D779" i="60"/>
  <c r="D894" i="60"/>
  <c r="D964" i="60"/>
  <c r="D708" i="60"/>
  <c r="D807" i="60"/>
  <c r="D928" i="60"/>
  <c r="D582" i="60"/>
  <c r="D585" i="60"/>
  <c r="D697" i="60"/>
  <c r="D809" i="60"/>
  <c r="D730" i="60"/>
  <c r="D881" i="60"/>
  <c r="D552" i="60"/>
  <c r="D687" i="60"/>
  <c r="D590" i="60"/>
  <c r="D810" i="60"/>
  <c r="D403" i="60"/>
  <c r="D450" i="60"/>
  <c r="D489" i="60"/>
  <c r="D737" i="60"/>
  <c r="D682" i="60"/>
  <c r="D428" i="60"/>
  <c r="D989" i="60"/>
  <c r="D389" i="60"/>
  <c r="D502" i="60"/>
  <c r="D632" i="60"/>
  <c r="D749" i="60"/>
  <c r="D546" i="60"/>
  <c r="D215" i="60"/>
  <c r="D295" i="60"/>
  <c r="D661" i="60"/>
  <c r="D986" i="60"/>
  <c r="D320" i="60"/>
  <c r="D434" i="60"/>
  <c r="D311" i="60"/>
  <c r="D525" i="60"/>
  <c r="D378" i="60"/>
  <c r="D162" i="60"/>
  <c r="D296" i="60"/>
  <c r="D330" i="60"/>
  <c r="D89" i="60"/>
  <c r="D145" i="60"/>
  <c r="D222" i="60"/>
  <c r="D197" i="60"/>
  <c r="D334" i="60"/>
  <c r="D164" i="60"/>
  <c r="D165" i="60"/>
  <c r="D15" i="60"/>
  <c r="D260" i="60"/>
  <c r="D84" i="60"/>
  <c r="D152" i="60"/>
  <c r="D108" i="60"/>
  <c r="D131" i="60"/>
  <c r="D64" i="60"/>
  <c r="D271" i="60"/>
  <c r="D846" i="60"/>
  <c r="D534" i="60"/>
  <c r="D735" i="60"/>
  <c r="D504" i="60"/>
  <c r="D821" i="60"/>
  <c r="D599" i="60"/>
  <c r="D767" i="60"/>
  <c r="D563" i="60"/>
  <c r="D167" i="60"/>
  <c r="D835" i="60"/>
  <c r="D557" i="60"/>
  <c r="D166" i="60"/>
  <c r="D110" i="60"/>
  <c r="D156" i="60"/>
  <c r="D466" i="60"/>
  <c r="D66" i="60"/>
  <c r="D50" i="60"/>
  <c r="D982" i="60"/>
  <c r="D889" i="60"/>
  <c r="D991" i="60"/>
  <c r="D898" i="60"/>
  <c r="D968" i="60"/>
  <c r="D712" i="60"/>
  <c r="D763" i="60"/>
  <c r="D878" i="60"/>
  <c r="D948" i="60"/>
  <c r="D692" i="60"/>
  <c r="D791" i="60"/>
  <c r="D912" i="60"/>
  <c r="D566" i="60"/>
  <c r="D569" i="60"/>
  <c r="D693" i="60"/>
  <c r="D769" i="60"/>
  <c r="D726" i="60"/>
  <c r="D799" i="60"/>
  <c r="D536" i="60"/>
  <c r="D636" i="60"/>
  <c r="D574" i="60"/>
  <c r="D801" i="60"/>
  <c r="D387" i="60"/>
  <c r="D443" i="60"/>
  <c r="D471" i="60"/>
  <c r="D729" i="60"/>
  <c r="D662" i="60"/>
  <c r="D415" i="60"/>
  <c r="D977" i="60"/>
  <c r="D373" i="60"/>
  <c r="D495" i="60"/>
  <c r="D607" i="60"/>
  <c r="D733" i="60"/>
  <c r="D538" i="60"/>
  <c r="D199" i="60"/>
  <c r="D270" i="60"/>
  <c r="D642" i="60"/>
  <c r="D789" i="60"/>
  <c r="D249" i="60"/>
  <c r="D303" i="60"/>
  <c r="D307" i="60"/>
  <c r="D508" i="60"/>
  <c r="D344" i="60"/>
  <c r="D155" i="60"/>
  <c r="D290" i="60"/>
  <c r="D301" i="60"/>
  <c r="D62" i="60"/>
  <c r="D141" i="60"/>
  <c r="D193" i="60"/>
  <c r="D113" i="60"/>
  <c r="D322" i="60"/>
  <c r="D136" i="60"/>
  <c r="D77" i="60"/>
  <c r="D20" i="60"/>
  <c r="D10" i="60"/>
  <c r="D179" i="60"/>
  <c r="D75" i="60"/>
  <c r="D275" i="60"/>
  <c r="D35" i="60"/>
  <c r="D88" i="60"/>
  <c r="D388" i="60"/>
  <c r="D171" i="60"/>
  <c r="D950" i="60"/>
  <c r="D857" i="60"/>
  <c r="D959" i="60"/>
  <c r="D936" i="60"/>
  <c r="D987" i="60"/>
  <c r="D916" i="60"/>
  <c r="D759" i="60"/>
  <c r="D537" i="60"/>
  <c r="D675" i="60"/>
  <c r="D619" i="60"/>
  <c r="D783" i="60"/>
  <c r="D457" i="60"/>
  <c r="D925" i="60"/>
  <c r="D477" i="60"/>
  <c r="D451" i="60"/>
  <c r="D493" i="60"/>
  <c r="D252" i="60"/>
  <c r="D144" i="60"/>
  <c r="D45" i="60"/>
  <c r="D68" i="60"/>
  <c r="D312" i="60"/>
  <c r="D42" i="60"/>
  <c r="D8" i="60"/>
  <c r="D966" i="60"/>
  <c r="D873" i="60"/>
  <c r="D975" i="60"/>
  <c r="D882" i="60"/>
  <c r="D952" i="60"/>
  <c r="D696" i="60"/>
  <c r="D747" i="60"/>
  <c r="D862" i="60"/>
  <c r="D932" i="60"/>
  <c r="D676" i="60"/>
  <c r="D775" i="60"/>
  <c r="D896" i="60"/>
  <c r="D550" i="60"/>
  <c r="D553" i="60"/>
  <c r="D688" i="60"/>
  <c r="D739" i="60"/>
  <c r="D717" i="60"/>
  <c r="D777" i="60"/>
  <c r="D520" i="60"/>
  <c r="D629" i="60"/>
  <c r="D558" i="60"/>
  <c r="D787" i="60"/>
  <c r="D941" i="60"/>
  <c r="D422" i="60"/>
  <c r="D464" i="60"/>
  <c r="D720" i="60"/>
  <c r="D639" i="60"/>
  <c r="D399" i="60"/>
  <c r="D913" i="60"/>
  <c r="D357" i="60"/>
  <c r="D484" i="60"/>
  <c r="D577" i="60"/>
  <c r="D673" i="60"/>
  <c r="D465" i="60"/>
  <c r="D183" i="60"/>
  <c r="D263" i="60"/>
  <c r="D615" i="60"/>
  <c r="D567" i="60"/>
  <c r="D217" i="60"/>
  <c r="D259" i="60"/>
  <c r="D741" i="60"/>
  <c r="D468" i="60"/>
  <c r="D314" i="60"/>
  <c r="D148" i="60"/>
  <c r="D237" i="60"/>
  <c r="D257" i="60"/>
  <c r="D52" i="60"/>
  <c r="D125" i="60"/>
  <c r="D117" i="60"/>
  <c r="D78" i="60"/>
  <c r="D188" i="60"/>
  <c r="D132" i="60"/>
  <c r="D12" i="60"/>
  <c r="D602" i="60"/>
  <c r="D207" i="60"/>
  <c r="D100" i="60"/>
  <c r="D70" i="60"/>
  <c r="D243" i="60"/>
  <c r="D280" i="60"/>
  <c r="D65" i="60"/>
  <c r="D54" i="60"/>
  <c r="D142" i="60"/>
  <c r="D866" i="60"/>
  <c r="D731" i="60"/>
  <c r="D660" i="60"/>
  <c r="D880" i="60"/>
  <c r="D684" i="60"/>
  <c r="D773" i="60"/>
  <c r="D542" i="60"/>
  <c r="D406" i="60"/>
  <c r="D634" i="60"/>
  <c r="D341" i="60"/>
  <c r="D654" i="60"/>
  <c r="D250" i="60"/>
  <c r="D185" i="60"/>
  <c r="D433" i="60"/>
  <c r="D512" i="60"/>
  <c r="D99" i="60"/>
  <c r="D120" i="60"/>
  <c r="D112" i="60"/>
  <c r="D203" i="60"/>
  <c r="D44" i="60"/>
  <c r="D902" i="60"/>
  <c r="D988" i="60"/>
  <c r="D911" i="60"/>
  <c r="D981" i="60"/>
  <c r="D888" i="60"/>
  <c r="D939" i="60"/>
  <c r="D683" i="60"/>
  <c r="D798" i="60"/>
  <c r="D868" i="60"/>
  <c r="D967" i="60"/>
  <c r="D711" i="60"/>
  <c r="D832" i="60"/>
  <c r="D778" i="60"/>
  <c r="D938" i="60"/>
  <c r="D641" i="60"/>
  <c r="D664" i="60"/>
  <c r="D640" i="60"/>
  <c r="D713" i="60"/>
  <c r="D456" i="60"/>
  <c r="D571" i="60"/>
  <c r="D494" i="60"/>
  <c r="D719" i="60"/>
  <c r="D646" i="60"/>
  <c r="D358" i="60"/>
  <c r="D425" i="60"/>
  <c r="D527" i="60"/>
  <c r="D579" i="60"/>
  <c r="D608" i="60"/>
  <c r="D674" i="60"/>
  <c r="D293" i="60"/>
  <c r="D452" i="60"/>
  <c r="D379" i="60"/>
  <c r="D505" i="60"/>
  <c r="D385" i="60"/>
  <c r="D119" i="60"/>
  <c r="D202" i="60"/>
  <c r="D771" i="60"/>
  <c r="D643" i="60"/>
  <c r="D97" i="60"/>
  <c r="D822" i="60"/>
  <c r="D476" i="60"/>
  <c r="D340" i="60"/>
  <c r="D244" i="60"/>
  <c r="D591" i="60"/>
  <c r="D93" i="60"/>
  <c r="D289" i="60"/>
  <c r="D886" i="60"/>
  <c r="D972" i="60"/>
  <c r="D895" i="60"/>
  <c r="D965" i="60"/>
  <c r="D872" i="60"/>
  <c r="D923" i="60"/>
  <c r="D667" i="60"/>
  <c r="D782" i="60"/>
  <c r="D852" i="60"/>
  <c r="D951" i="60"/>
  <c r="D695" i="60"/>
  <c r="D816" i="60"/>
  <c r="D774" i="60"/>
  <c r="D929" i="60"/>
  <c r="D637" i="60"/>
  <c r="D831" i="60"/>
  <c r="D626" i="60"/>
  <c r="D709" i="60"/>
  <c r="D440" i="60"/>
  <c r="D555" i="60"/>
  <c r="D478" i="60"/>
  <c r="D689" i="60"/>
  <c r="D624" i="60"/>
  <c r="D342" i="60"/>
  <c r="D409" i="60"/>
  <c r="D514" i="60"/>
  <c r="D559" i="60"/>
  <c r="D554" i="60"/>
  <c r="D633" i="60"/>
  <c r="D277" i="60"/>
  <c r="D445" i="60"/>
  <c r="D363" i="60"/>
  <c r="D487" i="60"/>
  <c r="D366" i="60"/>
  <c r="D580" i="60"/>
  <c r="D186" i="60"/>
  <c r="D681" i="60"/>
  <c r="D528" i="60"/>
  <c r="D87" i="60"/>
  <c r="D653" i="60"/>
  <c r="D384" i="60"/>
  <c r="D327" i="60"/>
  <c r="D240" i="60"/>
  <c r="D436" i="60"/>
  <c r="D86" i="60"/>
  <c r="D284" i="60"/>
  <c r="D268" i="60"/>
  <c r="D18" i="60"/>
  <c r="D31" i="60"/>
  <c r="D11" i="60"/>
  <c r="D414" i="60"/>
  <c r="D278" i="60"/>
  <c r="D328" i="60"/>
  <c r="D232" i="60"/>
  <c r="D127" i="60"/>
  <c r="D382" i="60"/>
  <c r="D291" i="60"/>
  <c r="D126" i="60"/>
  <c r="D413" i="60"/>
  <c r="D264" i="60"/>
  <c r="D294" i="60"/>
  <c r="D995" i="60"/>
  <c r="D870" i="60"/>
  <c r="D956" i="60"/>
  <c r="D879" i="60"/>
  <c r="D949" i="60"/>
  <c r="D856" i="60"/>
  <c r="D907" i="60"/>
  <c r="D651" i="60"/>
  <c r="D766" i="60"/>
  <c r="D836" i="60"/>
  <c r="D935" i="60"/>
  <c r="D679" i="60"/>
  <c r="D800" i="60"/>
  <c r="D765" i="60"/>
  <c r="D874" i="60"/>
  <c r="D630" i="60"/>
  <c r="D813" i="60"/>
  <c r="D613" i="60"/>
  <c r="D704" i="60"/>
  <c r="D845" i="60"/>
  <c r="D539" i="60"/>
  <c r="D462" i="60"/>
  <c r="D677" i="60"/>
  <c r="D570" i="60"/>
  <c r="D326" i="60"/>
  <c r="D393" i="60"/>
  <c r="D412" i="60"/>
  <c r="D531" i="60"/>
  <c r="D506" i="60"/>
  <c r="D628" i="60"/>
  <c r="D851" i="60"/>
  <c r="D438" i="60"/>
  <c r="D347" i="60"/>
  <c r="D480" i="60"/>
  <c r="D362" i="60"/>
  <c r="D500" i="60"/>
  <c r="D170" i="60"/>
  <c r="D596" i="60"/>
  <c r="D511" i="60"/>
  <c r="D71" i="60"/>
  <c r="D610" i="60"/>
  <c r="D319" i="60"/>
  <c r="D323" i="60"/>
  <c r="D226" i="60"/>
  <c r="D375" i="60"/>
  <c r="D59" i="60"/>
  <c r="D279" i="60"/>
  <c r="D228" i="60"/>
  <c r="D658" i="60"/>
  <c r="D21" i="60"/>
  <c r="D172" i="60"/>
  <c r="D381" i="60"/>
  <c r="D233" i="60"/>
  <c r="D269" i="60"/>
  <c r="D225" i="60"/>
  <c r="D105" i="60"/>
  <c r="D238" i="60"/>
  <c r="D230" i="60"/>
  <c r="D109" i="60"/>
  <c r="D200" i="60"/>
  <c r="D236" i="60"/>
  <c r="D256" i="60"/>
  <c r="D123" i="60"/>
  <c r="D979" i="60"/>
  <c r="D854" i="60"/>
  <c r="D940" i="60"/>
  <c r="D863" i="60"/>
  <c r="D933" i="60"/>
  <c r="D840" i="60"/>
  <c r="D891" i="60"/>
  <c r="D635" i="60"/>
  <c r="D750" i="60"/>
  <c r="D820" i="60"/>
  <c r="D919" i="60"/>
  <c r="D663" i="60"/>
  <c r="D796" i="60"/>
  <c r="D714" i="60"/>
  <c r="D865" i="60"/>
  <c r="D620" i="60"/>
  <c r="D786" i="60"/>
  <c r="D597" i="60"/>
  <c r="D700" i="60"/>
  <c r="D803" i="60"/>
  <c r="D523" i="60"/>
  <c r="D446" i="60"/>
  <c r="D762" i="60"/>
  <c r="D560" i="60"/>
  <c r="D310" i="60"/>
  <c r="D377" i="60"/>
  <c r="D396" i="60"/>
  <c r="D499" i="60"/>
  <c r="D481" i="60"/>
  <c r="D578" i="60"/>
  <c r="D612" i="60"/>
  <c r="D431" i="60"/>
  <c r="D331" i="60"/>
  <c r="D473" i="60"/>
  <c r="D353" i="60"/>
  <c r="D458" i="60"/>
  <c r="D154" i="60"/>
  <c r="D561" i="60"/>
  <c r="D454" i="60"/>
  <c r="D55" i="60"/>
  <c r="D501" i="60"/>
  <c r="D298" i="60"/>
  <c r="D302" i="60"/>
  <c r="D219" i="60"/>
  <c r="D360" i="60"/>
  <c r="D49" i="60"/>
  <c r="D262" i="60"/>
  <c r="D210" i="60"/>
  <c r="D621" i="60"/>
  <c r="D815" i="60"/>
  <c r="D160" i="60"/>
  <c r="D316" i="60"/>
  <c r="D175" i="60"/>
  <c r="D239" i="60"/>
  <c r="D204" i="60"/>
  <c r="D19" i="60"/>
  <c r="D224" i="60"/>
  <c r="D94" i="60"/>
  <c r="D79" i="60"/>
  <c r="D34" i="60"/>
  <c r="D98" i="60"/>
  <c r="D242" i="60"/>
  <c r="D91" i="60"/>
  <c r="D838" i="60"/>
  <c r="D847" i="60"/>
  <c r="D824" i="60"/>
  <c r="D990" i="60"/>
  <c r="D804" i="60"/>
  <c r="D647" i="60"/>
  <c r="D710" i="60"/>
  <c r="D604" i="60"/>
  <c r="D581" i="60"/>
  <c r="D794" i="60"/>
  <c r="D430" i="60"/>
  <c r="D545" i="60"/>
  <c r="D361" i="60"/>
  <c r="D492" i="60"/>
  <c r="D544" i="60"/>
  <c r="D424" i="60"/>
  <c r="D455" i="60"/>
  <c r="D423" i="60"/>
  <c r="D605" i="60"/>
  <c r="D39" i="60"/>
  <c r="D266" i="60"/>
  <c r="D251" i="60"/>
  <c r="D104" i="60"/>
  <c r="D355" i="60"/>
  <c r="D272" i="60"/>
  <c r="D543" i="60"/>
  <c r="D101" i="60"/>
  <c r="D253" i="60"/>
  <c r="D335" i="60"/>
  <c r="D158" i="60"/>
  <c r="D339" i="60"/>
  <c r="D985" i="60"/>
  <c r="D994" i="60"/>
  <c r="D974" i="60"/>
  <c r="D788" i="60"/>
  <c r="D631" i="60"/>
  <c r="D701" i="60"/>
  <c r="D588" i="60"/>
  <c r="D565" i="60"/>
  <c r="D785" i="60"/>
  <c r="D970" i="60"/>
  <c r="D541" i="60"/>
  <c r="D345" i="60"/>
  <c r="D485" i="60"/>
  <c r="D535" i="60"/>
  <c r="D408" i="60"/>
  <c r="D448" i="60"/>
  <c r="D404" i="60"/>
  <c r="D498" i="60"/>
  <c r="D23" i="60"/>
  <c r="D255" i="60"/>
  <c r="D212" i="60"/>
  <c r="D32" i="60"/>
  <c r="D306" i="60"/>
  <c r="D92" i="60"/>
  <c r="D533" i="60"/>
  <c r="D67" i="60"/>
  <c r="D116" i="60"/>
  <c r="D14" i="60"/>
  <c r="D26" i="60"/>
  <c r="D53" i="60"/>
  <c r="D313" i="60"/>
  <c r="D772" i="60"/>
  <c r="D755" i="60"/>
  <c r="D519" i="60"/>
  <c r="D329" i="60"/>
  <c r="D518" i="60"/>
  <c r="D392" i="60"/>
  <c r="D391" i="60"/>
  <c r="D858" i="60"/>
  <c r="D241" i="60"/>
  <c r="D208" i="60"/>
  <c r="D189" i="60"/>
  <c r="D85" i="60"/>
  <c r="D29" i="60"/>
  <c r="D159" i="60"/>
  <c r="D147" i="60"/>
  <c r="D220" i="60"/>
  <c r="D937" i="60"/>
  <c r="D760" i="60"/>
  <c r="D926" i="60"/>
  <c r="D617" i="60"/>
  <c r="D540" i="60"/>
  <c r="D945" i="60"/>
  <c r="D793" i="60"/>
  <c r="D808" i="60"/>
  <c r="D969" i="60"/>
  <c r="D978" i="60"/>
  <c r="D792" i="60"/>
  <c r="D958" i="60"/>
  <c r="D992" i="60"/>
  <c r="D672" i="60"/>
  <c r="D572" i="60"/>
  <c r="D549" i="60"/>
  <c r="D961" i="60"/>
  <c r="D467" i="60"/>
  <c r="D441" i="60"/>
  <c r="D678" i="60"/>
  <c r="D22" i="60"/>
  <c r="D490" i="60"/>
  <c r="D111" i="60"/>
  <c r="D43" i="60"/>
  <c r="D740" i="60"/>
  <c r="D833" i="60"/>
  <c r="D953" i="60"/>
  <c r="D962" i="60"/>
  <c r="D776" i="60"/>
  <c r="D942" i="60"/>
  <c r="D756" i="60"/>
  <c r="D976" i="60"/>
  <c r="D656" i="60"/>
  <c r="D556" i="60"/>
  <c r="D954" i="60"/>
  <c r="D751" i="60"/>
  <c r="D849" i="60"/>
  <c r="D507" i="60"/>
  <c r="D802" i="60"/>
  <c r="D460" i="60"/>
  <c r="D513" i="60"/>
  <c r="D376" i="60"/>
  <c r="D417" i="60"/>
  <c r="D371" i="60"/>
  <c r="D780" i="60"/>
  <c r="D665" i="60"/>
  <c r="D223" i="60"/>
  <c r="D194" i="60"/>
  <c r="D9" i="60"/>
  <c r="D181" i="60"/>
  <c r="D58" i="60"/>
  <c r="D128" i="60"/>
  <c r="D7" i="60"/>
  <c r="D95" i="60"/>
  <c r="D129" i="60"/>
  <c r="D190" i="60"/>
  <c r="D297" i="60"/>
  <c r="D213" i="60"/>
  <c r="D960" i="60"/>
  <c r="D482" i="60"/>
  <c r="D946" i="60"/>
  <c r="D841" i="60"/>
  <c r="D850" i="60"/>
  <c r="D971" i="60"/>
  <c r="D830" i="60"/>
  <c r="D644" i="60"/>
  <c r="D864" i="60"/>
  <c r="D521" i="60"/>
  <c r="D705" i="60"/>
  <c r="D768" i="60"/>
  <c r="D603" i="60"/>
  <c r="D753" i="60"/>
  <c r="D390" i="60"/>
  <c r="D589" i="60"/>
  <c r="D650" i="60"/>
  <c r="D325" i="60"/>
  <c r="D411" i="60"/>
  <c r="D444" i="60"/>
  <c r="D234" i="60"/>
  <c r="D797" i="60"/>
  <c r="D245" i="60"/>
  <c r="D397" i="60"/>
  <c r="D176" i="60"/>
  <c r="D429" i="60"/>
  <c r="D157" i="60"/>
  <c r="D367" i="60"/>
  <c r="D276" i="60"/>
  <c r="D48" i="60"/>
  <c r="D33" i="60"/>
  <c r="D150" i="60"/>
  <c r="D60" i="60"/>
  <c r="D36" i="60"/>
  <c r="D30" i="60"/>
  <c r="D261" i="60"/>
  <c r="D13" i="60"/>
  <c r="D825" i="60"/>
  <c r="D834" i="60"/>
  <c r="D955" i="60"/>
  <c r="D814" i="60"/>
  <c r="D983" i="60"/>
  <c r="D848" i="60"/>
  <c r="D993" i="60"/>
  <c r="D680" i="60"/>
  <c r="D764" i="60"/>
  <c r="D587" i="60"/>
  <c r="D723" i="60"/>
  <c r="D374" i="60"/>
  <c r="D564" i="60"/>
  <c r="D618" i="60"/>
  <c r="D309" i="60"/>
  <c r="D395" i="60"/>
  <c r="D437" i="60"/>
  <c r="D218" i="60"/>
  <c r="D716" i="60"/>
  <c r="D227" i="60"/>
  <c r="D368" i="60"/>
  <c r="D130" i="60"/>
  <c r="D383" i="60"/>
  <c r="D149" i="60"/>
  <c r="D265" i="60"/>
  <c r="D365" i="60"/>
  <c r="D139" i="60"/>
  <c r="D178" i="60"/>
  <c r="D304" i="60"/>
  <c r="D931" i="60"/>
  <c r="D871" i="60"/>
  <c r="D909" i="60"/>
  <c r="D348" i="60"/>
  <c r="D963" i="60"/>
  <c r="D924" i="60"/>
  <c r="D917" i="60"/>
  <c r="D875" i="60"/>
  <c r="D734" i="60"/>
  <c r="D903" i="60"/>
  <c r="D770" i="60"/>
  <c r="D819" i="60"/>
  <c r="D722" i="60"/>
  <c r="D671" i="60"/>
  <c r="D829" i="60"/>
  <c r="D652" i="60"/>
  <c r="D842" i="60"/>
  <c r="D380" i="60"/>
  <c r="D474" i="60"/>
  <c r="D583" i="60"/>
  <c r="D315" i="60"/>
  <c r="D333" i="60"/>
  <c r="D138" i="60"/>
  <c r="D427" i="60"/>
  <c r="D461" i="60"/>
  <c r="D286" i="60"/>
  <c r="D666" i="60"/>
  <c r="D318" i="60"/>
  <c r="D82" i="60"/>
  <c r="D205" i="60"/>
  <c r="D254" i="60"/>
  <c r="D211" i="60"/>
  <c r="D118" i="60"/>
  <c r="D133" i="60"/>
  <c r="D17" i="60"/>
  <c r="D906" i="60"/>
  <c r="D63" i="60"/>
  <c r="D892" i="60"/>
  <c r="D885" i="60"/>
  <c r="D702" i="60"/>
  <c r="D761" i="60"/>
  <c r="D595" i="60"/>
  <c r="D442" i="60"/>
  <c r="D283" i="60"/>
  <c r="D947" i="60"/>
  <c r="D908" i="60"/>
  <c r="D901" i="60"/>
  <c r="D859" i="60"/>
  <c r="D718" i="60"/>
  <c r="D887" i="60"/>
  <c r="D706" i="60"/>
  <c r="D805" i="60"/>
  <c r="D973" i="60"/>
  <c r="D655" i="60"/>
  <c r="D817" i="60"/>
  <c r="D609" i="60"/>
  <c r="D669" i="60"/>
  <c r="D364" i="60"/>
  <c r="D449" i="60"/>
  <c r="D573" i="60"/>
  <c r="D299" i="60"/>
  <c r="D288" i="60"/>
  <c r="D122" i="60"/>
  <c r="D400" i="60"/>
  <c r="D426" i="60"/>
  <c r="D282" i="60"/>
  <c r="D346" i="60"/>
  <c r="D246" i="60"/>
  <c r="D72" i="60"/>
  <c r="D201" i="60"/>
  <c r="D235" i="60"/>
  <c r="D192" i="60"/>
  <c r="D292" i="60"/>
  <c r="D115" i="60"/>
  <c r="D551" i="60"/>
  <c r="D83" i="60"/>
  <c r="D25" i="60"/>
  <c r="D843" i="60"/>
  <c r="D649" i="60"/>
  <c r="D616" i="60"/>
  <c r="D657" i="60"/>
  <c r="D548" i="60"/>
  <c r="D812" i="60"/>
  <c r="D897" i="60"/>
  <c r="D370" i="60"/>
  <c r="D876" i="60"/>
  <c r="D317" i="60"/>
  <c r="D418" i="60"/>
  <c r="D598" i="60"/>
  <c r="D699" i="60"/>
  <c r="D73" i="60"/>
  <c r="D168" i="60"/>
  <c r="D586" i="60"/>
  <c r="D267" i="60"/>
  <c r="D453" i="60"/>
  <c r="D648" i="60"/>
  <c r="D627" i="60"/>
  <c r="D918" i="60"/>
  <c r="D184" i="60"/>
  <c r="D28" i="60"/>
  <c r="D106" i="60"/>
  <c r="D593" i="60"/>
  <c r="D659" i="60"/>
  <c r="D934" i="60"/>
  <c r="D336" i="60"/>
  <c r="D214" i="60"/>
  <c r="D354" i="60"/>
  <c r="D922" i="60"/>
  <c r="D435" i="60"/>
  <c r="D890" i="60"/>
  <c r="D614" i="60"/>
  <c r="D715" i="60"/>
  <c r="D161" i="60"/>
  <c r="D359" i="60"/>
  <c r="D447" i="60"/>
  <c r="D173" i="60"/>
  <c r="D469" i="60"/>
  <c r="D321" i="60"/>
  <c r="D861" i="60"/>
  <c r="D826" i="60"/>
  <c r="D781" i="60"/>
  <c r="D727" i="60"/>
  <c r="D827" i="60"/>
  <c r="D883" i="60"/>
  <c r="D420" i="60"/>
  <c r="D491" i="60"/>
  <c r="D90" i="60"/>
  <c r="D515" i="60"/>
  <c r="D795" i="60"/>
  <c r="D102" i="60"/>
  <c r="D398" i="60"/>
  <c r="D76" i="60"/>
  <c r="D623" i="60"/>
  <c r="D69" i="60"/>
  <c r="D27" i="60"/>
  <c r="D80" i="60"/>
  <c r="D592" i="60"/>
  <c r="D177" i="60"/>
  <c r="D187" i="60"/>
  <c r="D517" i="60"/>
  <c r="D349" i="60"/>
  <c r="D463" i="60"/>
  <c r="D690" i="60"/>
  <c r="D510" i="60"/>
  <c r="D790" i="60"/>
  <c r="D743" i="60"/>
  <c r="D744" i="60"/>
  <c r="D899" i="60"/>
  <c r="D532" i="60"/>
  <c r="D103" i="60"/>
  <c r="D46" i="60"/>
  <c r="D285" i="60"/>
  <c r="D685" i="60"/>
  <c r="D732" i="60"/>
  <c r="D258" i="60"/>
  <c r="D121" i="60"/>
  <c r="D135" i="60"/>
  <c r="D470" i="60"/>
  <c r="D745" i="60"/>
  <c r="D526" i="60"/>
  <c r="D818" i="60"/>
  <c r="D823" i="60"/>
  <c r="D904" i="60"/>
  <c r="D915" i="60"/>
  <c r="D860" i="60"/>
  <c r="D754" i="60"/>
  <c r="D169" i="60"/>
  <c r="D180" i="60"/>
  <c r="D195" i="60"/>
  <c r="D56" i="60"/>
  <c r="D394" i="60"/>
  <c r="D124" i="60"/>
  <c r="D96" i="60"/>
  <c r="D273" i="60"/>
  <c r="D153" i="60"/>
  <c r="D151" i="60"/>
  <c r="D509" i="60"/>
  <c r="D877" i="60"/>
  <c r="D606" i="60"/>
  <c r="D524" i="60"/>
  <c r="D839" i="60"/>
  <c r="D920" i="60"/>
  <c r="D600" i="60"/>
  <c r="D221" i="60"/>
  <c r="D625" i="60"/>
  <c r="D742" i="60"/>
  <c r="D575" i="60"/>
  <c r="D944" i="60"/>
  <c r="D811" i="60"/>
  <c r="D229" i="60"/>
  <c r="D308" i="60"/>
  <c r="D24" i="60"/>
  <c r="D140" i="60"/>
  <c r="D107" i="60"/>
  <c r="D410" i="60"/>
  <c r="D324" i="60"/>
  <c r="D231" i="60"/>
  <c r="D522" i="60"/>
  <c r="D784" i="60"/>
  <c r="D622" i="60"/>
  <c r="D645" i="60"/>
  <c r="D855" i="60"/>
  <c r="D837" i="60"/>
  <c r="D338" i="60"/>
  <c r="D5" i="60"/>
  <c r="D806" i="60"/>
  <c r="D419" i="60"/>
  <c r="D114" i="60"/>
  <c r="D668" i="60"/>
  <c r="D74" i="60"/>
  <c r="D38" i="60"/>
  <c r="D337" i="60"/>
  <c r="D432" i="60"/>
  <c r="D724" i="60"/>
  <c r="D143" i="60"/>
  <c r="D6" i="60"/>
  <c r="D57" i="60"/>
  <c r="D51" i="60"/>
  <c r="D198" i="60"/>
  <c r="D638" i="60"/>
  <c r="D350" i="60"/>
  <c r="D274" i="60"/>
  <c r="D405" i="60"/>
  <c r="D439" i="60"/>
  <c r="D691" i="60"/>
  <c r="D748" i="60"/>
  <c r="D884" i="60"/>
  <c r="D869" i="60"/>
  <c r="D957" i="60"/>
  <c r="D356" i="60"/>
  <c r="D332" i="60"/>
  <c r="D41" i="60"/>
  <c r="D530" i="60"/>
  <c r="D174" i="60"/>
  <c r="D146" i="60"/>
  <c r="D61" i="60"/>
  <c r="D206" i="60"/>
  <c r="D248" i="60"/>
  <c r="D369" i="60"/>
  <c r="D281" i="60"/>
  <c r="D421" i="60"/>
  <c r="D496" i="60"/>
  <c r="D721" i="60"/>
  <c r="D752" i="60"/>
  <c r="D900" i="60"/>
  <c r="D930" i="60"/>
  <c r="D196" i="60"/>
  <c r="D216" i="60"/>
  <c r="D81" i="60"/>
  <c r="D407" i="60"/>
  <c r="D483" i="60"/>
  <c r="D191" i="60"/>
  <c r="D746" i="60"/>
  <c r="D694" i="60"/>
  <c r="D703" i="60"/>
  <c r="D503" i="60"/>
  <c r="D472" i="60"/>
  <c r="D757" i="60"/>
  <c r="D980" i="60"/>
  <c r="D927" i="60"/>
  <c r="D910" i="60"/>
  <c r="D351" i="60"/>
  <c r="D576" i="60"/>
  <c r="D247" i="60"/>
  <c r="D738" i="60"/>
  <c r="D853" i="60"/>
  <c r="D16" i="60"/>
  <c r="D352" i="60"/>
  <c r="D182" i="60"/>
  <c r="D416" i="60"/>
  <c r="D611" i="60"/>
  <c r="D209" i="60"/>
  <c r="D758" i="60"/>
  <c r="D401" i="60"/>
  <c r="D736" i="60"/>
  <c r="D594" i="60"/>
  <c r="D488" i="60"/>
  <c r="D601" i="60"/>
  <c r="D670" i="60"/>
  <c r="D943" i="60"/>
  <c r="D459" i="60"/>
  <c r="D921" i="60"/>
  <c r="D287" i="60"/>
  <c r="D372" i="60"/>
  <c r="D163" i="60"/>
  <c r="D300" i="60"/>
  <c r="D134" i="60"/>
  <c r="D516" i="60"/>
  <c r="D479" i="60"/>
  <c r="D529" i="60"/>
  <c r="D386" i="60"/>
  <c r="D475" i="60"/>
  <c r="D568" i="60"/>
  <c r="D893" i="60"/>
  <c r="D686" i="60"/>
  <c r="D844" i="60"/>
  <c r="C16" i="59"/>
  <c r="C17" i="59" l="1" a="1"/>
  <c r="C17" i="59" s="1"/>
  <c r="A12" i="59"/>
  <c r="A16" i="59" l="1"/>
  <c r="B16" i="5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Wade Crane</author>
  </authors>
  <commentList>
    <comment ref="G1" authorId="0" shapeId="0" xr:uid="{5961DF22-3531-474D-838E-3EFEF14D4883}">
      <text>
        <r>
          <rPr>
            <b/>
            <sz val="9"/>
            <color indexed="81"/>
            <rFont val="Tahoma"/>
            <family val="2"/>
          </rPr>
          <t>Wade Crane:</t>
        </r>
        <r>
          <rPr>
            <sz val="9"/>
            <color indexed="81"/>
            <rFont val="Tahoma"/>
            <family val="2"/>
          </rPr>
          <t xml:space="preserve">
This to be hidden - used in hide nil rows macro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<sst xmlns="http://schemas.openxmlformats.org/spreadsheetml/2006/main" count="561" uniqueCount="209">
  <si>
    <t>Closing Balance per Xero</t>
  </si>
  <si>
    <t>Liability</t>
  </si>
  <si>
    <t>Revenue</t>
  </si>
  <si>
    <t>Expense</t>
  </si>
  <si>
    <t>Depreciation</t>
  </si>
  <si>
    <t>Trial Balance</t>
  </si>
  <si>
    <t>Account Type</t>
  </si>
  <si>
    <t>Other Income</t>
  </si>
  <si>
    <t>Direct Costs</t>
  </si>
  <si>
    <t>Overhead</t>
  </si>
  <si>
    <t>Linked Xero Account</t>
  </si>
  <si>
    <t>Trial Balance - to review</t>
  </si>
  <si>
    <t>Sales</t>
  </si>
  <si>
    <t>Document Link</t>
  </si>
  <si>
    <t>Notes</t>
  </si>
  <si>
    <t>Account Name</t>
  </si>
  <si>
    <t>BANK RECONCILIATION WKP</t>
  </si>
  <si>
    <t>Equity</t>
  </si>
  <si>
    <t>Trading Income</t>
  </si>
  <si>
    <t>Cost of Sales</t>
  </si>
  <si>
    <t>Income</t>
  </si>
  <si>
    <t>Expenses</t>
  </si>
  <si>
    <t>Assets</t>
  </si>
  <si>
    <t>Fixed Asset</t>
  </si>
  <si>
    <t>Current Asset</t>
  </si>
  <si>
    <t>Non-current Asset</t>
  </si>
  <si>
    <t>Liabilities</t>
  </si>
  <si>
    <t>Current Liability</t>
  </si>
  <si>
    <t>Non-current Liability</t>
  </si>
  <si>
    <t>Naming Conventions in Xero</t>
  </si>
  <si>
    <t>Bank</t>
  </si>
  <si>
    <t>Xero Report Generator</t>
  </si>
  <si>
    <t>V 1.0.0</t>
  </si>
  <si>
    <t>Current feature:</t>
  </si>
  <si>
    <t>First time? Go login and authorize a connection to your Xero organization</t>
  </si>
  <si>
    <t>*You also need to login again if you need to connect 2 or more organization</t>
  </si>
  <si>
    <t>▣ Clears cached tokens and Xero organization IDs</t>
  </si>
  <si>
    <t>Once authorized, you can generate Xero reports.</t>
  </si>
  <si>
    <t>Press the button to open dialog for generating report.</t>
  </si>
  <si>
    <t>Account Type from TrialBalance</t>
  </si>
  <si>
    <t>Maching Account from ChartofAccount</t>
  </si>
  <si>
    <t>Account Number</t>
  </si>
  <si>
    <t>▣ Able to generate Trial Balance report</t>
  </si>
  <si>
    <r>
      <rPr>
        <sz val="11"/>
        <color theme="0"/>
        <rFont val="Segoe UI Symbol"/>
        <family val="1"/>
      </rPr>
      <t>▣</t>
    </r>
    <r>
      <rPr>
        <sz val="11"/>
        <color theme="0"/>
        <rFont val="Bahnschrift"/>
        <family val="2"/>
      </rPr>
      <t xml:space="preserve"> Calls Xero API for "Trial Balance" report and loads it into an Excel sheet</t>
    </r>
    <phoneticPr fontId="27" type="noConversion"/>
  </si>
  <si>
    <t>AccountID</t>
  </si>
  <si>
    <t>820</t>
  </si>
  <si>
    <t>Current Year: Debit</t>
  </si>
  <si>
    <t>Current Year: Credit</t>
  </si>
  <si>
    <t>Previous Year: Debit - Credit</t>
  </si>
  <si>
    <t>As at 30 June 2024</t>
  </si>
  <si>
    <t>090</t>
  </si>
  <si>
    <t>800</t>
  </si>
  <si>
    <t>File needs uploading- action by accountant</t>
  </si>
  <si>
    <t>Preview in Local File</t>
  </si>
  <si>
    <t>Preview in FYI</t>
  </si>
  <si>
    <t>file name in Local File</t>
    <phoneticPr fontId="27" type="noConversion"/>
  </si>
  <si>
    <t xml:space="preserve">Related filepath </t>
    <phoneticPr fontId="27" type="noConversion"/>
  </si>
  <si>
    <t>Related preview in FYI</t>
  </si>
  <si>
    <t>fixed_asset</t>
  </si>
  <si>
    <t>testac</t>
  </si>
  <si>
    <t>other_asset</t>
  </si>
  <si>
    <t>stock_on_hand</t>
  </si>
  <si>
    <t>trade_creditor</t>
  </si>
  <si>
    <t>loans</t>
  </si>
  <si>
    <t>gst</t>
  </si>
  <si>
    <t>other_creditor</t>
  </si>
  <si>
    <t>hire_purchase</t>
  </si>
  <si>
    <t>Uploading Category</t>
  </si>
  <si>
    <t>ASSET</t>
  </si>
  <si>
    <t>LIABILITY</t>
  </si>
  <si>
    <t>finance_lease</t>
  </si>
  <si>
    <t>written_off</t>
  </si>
  <si>
    <t>payroll_tax_return</t>
  </si>
  <si>
    <t>workcover_declaration</t>
  </si>
  <si>
    <t>Insurance</t>
  </si>
  <si>
    <t>contingent_liabilities</t>
  </si>
  <si>
    <t>inventory</t>
  </si>
  <si>
    <t>payroll_summary</t>
  </si>
  <si>
    <t>investments</t>
  </si>
  <si>
    <t>rental_property</t>
  </si>
  <si>
    <t>cash_on_hand</t>
  </si>
  <si>
    <t>All accounts in XERO</t>
  </si>
  <si>
    <t>Subfolder under</t>
  </si>
  <si>
    <t>Step 1 -</t>
  </si>
  <si>
    <t>Step 2 -</t>
  </si>
  <si>
    <t>Step 3 -</t>
  </si>
  <si>
    <t>Upload in FYI</t>
  </si>
  <si>
    <t>Step 4 -</t>
  </si>
  <si>
    <t>Close the Excel and Run Python script</t>
  </si>
  <si>
    <t>Sales (200)</t>
  </si>
  <si>
    <t>bank_statement</t>
  </si>
  <si>
    <t>Click on step 1 againif missing documents and manually match related accounts</t>
  </si>
  <si>
    <t>credit_card_statement</t>
  </si>
  <si>
    <t>borrowing_cost</t>
  </si>
  <si>
    <t>Consulting &amp; Accounting (412)</t>
  </si>
  <si>
    <t>Business Bank Account (090)</t>
  </si>
  <si>
    <t>Update 20241108</t>
  </si>
  <si>
    <t>Symbols</t>
  </si>
  <si>
    <t>Update 20241121</t>
  </si>
  <si>
    <t>✓</t>
  </si>
  <si>
    <t>Mtch</t>
  </si>
  <si>
    <t>Get_Datetime</t>
  </si>
  <si>
    <t>Access_Token</t>
  </si>
  <si>
    <t>AT_Expired_Datetime</t>
  </si>
  <si>
    <t>Refresh_Token</t>
  </si>
  <si>
    <t>RT_Expired_Datetime</t>
  </si>
  <si>
    <t>eyJhbGciOiJSUzI1NiIsImtpZCI6IjFDQUY4RTY2NzcyRDZEQzAyOEQ2NzI2RkQwMjYxNTgxNTcwRUZDMTkiLCJ0eXAiOiJKV1QiLCJ4NXQiOiJISy1PWm5jdGJjQW8xbkp2MENZVmdWY09fQmsifQ.eyJuYmYiOjE3MzIxNjE5MTgsImV4cCI6MTczMjE2MzcxOCwiaXNzIjoiaHR0cHM6Ly9pZGVudGl0eS54ZXJvLmNvbSIsImF1ZCI6Imh0dHBzOi8vaWRlbnRpdHkueGVyby5jb20vcmVzb3VyY2VzIiwiY2xpZW50X2lkIjoiNDA5MDgzMzk5QzQ3NDFBRkI4MzVGMDMwNTAxMDhCRTAiLCJzdWIiOiIzNjM0MDRkZGY3OGQ1ZGZjYTJjNzhhOWYwMGY2MzY4NiIsImF1dGhfdGltZSI6MTczMjE2MTg5NCwieGVyb191c2VyaWQiOiJhZDY2NGM5My1iOTYwLTQwODMtOWEwZi0wNDdkNjE2YzliNTUiLCJnbG9iYWxfc2Vzc2lvbl9pZCI6IjE0MWVjMzVmYTU4MjQ4OWJiMmE4MDY0ZWUzM2NmM2EwIiwic2lkIjoiMTQxZWMzNWZhNTgyNDg5YmIyYTgwNjRlZTMzY2YzYTAiLCJqdGkiOiI5QjdDODY1ODJCREQ5MzRGMUE1NkI5NDk4MzYzNDlCQSIsImF1dGhlbnRpY2F0aW9uX2V2ZW50X2lkIjoiZjM3MDY2MmYtZjAzZS00YzQyLWE0NjktNTIzMDhlZjljYmUxIiwic2NvcGUiOlsiZW1haWwiLCJwcm9maWxlIiwib3BlbmlkIiwiYWNjb3VudGluZy5yZXBvcnRzLnJlYWQiLCJhY2NvdW50aW5nLnNldHRpbmdzIiwiYWNjb3VudGluZy5zZXR0aW5ncy5yZWFkIiwiYXNzZXRzLnJlYWQiLCJhc3NldHMiLCJhY2NvdW50aW5nLmNvbnRhY3RzIiwib2ZmbGluZV9hY2Nlc3MiXSwiYW1yIjpbInB3ZCIsIm1mYSIsIm90cCJdfQ.Z6ErbFUpqRGVB7VpMGY39ZcBdem8pchRkodlzY-JQCJiy0dX141jFbHywKSCWKh6rlFklEDdik2Rme2gI7iAG6RmO2-XxmFYqz2LNVDFLaL8hgoYQ8eGqJgX7QWefTDgJDn5h_976N-Qxyc16aoTmvn4b_eiGartDjYK9d7BL91Q047OMhQZ6-5l_bHaXDYhg_00YEj7a-yexIlrJJo00D0ZJSCpdQWkJLtKYus0grVgboWwmanblw2hZum8M_bLcyJWu-EU2SRvwsO3IYZcP-XUU3snE3myRWthzrn-nWJvSThoT-KEBgmcyQz7ZQok00bvE1CBO3BvMkF2pbQNAQ</t>
  </si>
  <si>
    <t>uMQAtc8-nCXgJ33hM2VQeLViOsCJLk3Gli2fcFetdRQ</t>
  </si>
  <si>
    <t>id</t>
  </si>
  <si>
    <t>authEventId</t>
  </si>
  <si>
    <t>tenantId</t>
  </si>
  <si>
    <t>tenantType</t>
  </si>
  <si>
    <t>tenantName</t>
  </si>
  <si>
    <t>createdDateUtc</t>
  </si>
  <si>
    <t>updatedDateUtc</t>
  </si>
  <si>
    <t>c7b43b02-a903-4b7e-9c8d-0ffa95819f4a</t>
  </si>
  <si>
    <t>ad426cd0-cf1d-46da-bc97-e6d5adbf6a63</t>
  </si>
  <si>
    <t>0c652436-7bf2-4095-88d3-c29dffeb3543</t>
  </si>
  <si>
    <t>ORGANISATION</t>
  </si>
  <si>
    <t>N E DAHL &amp; L J CRAIG</t>
  </si>
  <si>
    <t>2024-09-18T05:23:31.4172100</t>
  </si>
  <si>
    <t>2024-09-18T05:23:31.4193660</t>
  </si>
  <si>
    <t>fd436169-3008-4dc3-8ca8-feccad2b5ad9</t>
  </si>
  <si>
    <t>6b0fdcdc-4d66-4985-a588-81163075ccbb</t>
  </si>
  <si>
    <t>330615cd-12f3-4a75-ac4e-07a6ac30fba1</t>
  </si>
  <si>
    <t>Wealth for Health Pty Ltd</t>
  </si>
  <si>
    <t>2024-09-18T10:26:10.0894270</t>
  </si>
  <si>
    <t>2024-09-18T10:26:10.0923510</t>
  </si>
  <si>
    <t>4a59c306-2f2d-44b1-a4f7-3d0acecdb395</t>
  </si>
  <si>
    <t>b5f4bbe4-7511-4110-aea5-2626be2bc0d7</t>
  </si>
  <si>
    <t>3ce90a99-c09b-4eb3-8674-818209365006</t>
  </si>
  <si>
    <t>Travis Crowell Investments Pty Ltd</t>
  </si>
  <si>
    <t>2024-09-18T10:35:48.1141530</t>
  </si>
  <si>
    <t>2024-09-18T10:35:48.1163860</t>
  </si>
  <si>
    <t>1d215077-ed18-419a-89fa-ba8c6428f212</t>
  </si>
  <si>
    <t>fee08500-1fdf-43e7-b385-5e8c94c8708d</t>
  </si>
  <si>
    <t>4832d591-ac9c-4f81-8d6e-776e4c9be3db</t>
  </si>
  <si>
    <t>YP Bulk Haulage Pty Ltd</t>
  </si>
  <si>
    <t>2024-09-18T07:31:44.0554080</t>
  </si>
  <si>
    <t>2024-09-18T07:31:44.0578030</t>
  </si>
  <si>
    <t>2cf34ade-05db-4175-a48e-192b4194a26b</t>
  </si>
  <si>
    <t>f94a7f4f-129e-44b5-8270-d17073bff9e8</t>
  </si>
  <si>
    <t>cc993af5-a0b0-46c8-9c83-130e35f2b888</t>
  </si>
  <si>
    <t>35 South Pty Ltd</t>
  </si>
  <si>
    <t>2024-09-18T10:40:28.8962130</t>
  </si>
  <si>
    <t>2024-09-18T10:40:28.8982930</t>
  </si>
  <si>
    <t>33542658-f063-463a-8e60-a49bedc97c84</t>
  </si>
  <si>
    <t>fbadc1dd-d8ec-4f38-8afb-5f259e76c134</t>
  </si>
  <si>
    <t>eaebaa81-44d4-45b4-8bba-ce48d27000ee</t>
  </si>
  <si>
    <t>Nimber Pty Ltd</t>
  </si>
  <si>
    <t>2024-09-25T02:26:46.8441160</t>
  </si>
  <si>
    <t>2024-09-25T02:26:46.8461970</t>
  </si>
  <si>
    <t>ea6173cf-4db5-4462-b52c-59e6cf0e786f</t>
  </si>
  <si>
    <t>4653ecac-bb8a-49fd-a0c8-c38890edc9b1</t>
  </si>
  <si>
    <t>eff67685-2d34-41f7-88bc-e6e067f37caa</t>
  </si>
  <si>
    <t>Demo Company (AU)</t>
  </si>
  <si>
    <t>2024-11-19T06:16:47.0578250</t>
  </si>
  <si>
    <t>2024-11-19T06:16:47.0601020</t>
  </si>
  <si>
    <t>461</t>
  </si>
  <si>
    <t>Printing &amp; Stationery (461)</t>
  </si>
  <si>
    <t>GST (820)</t>
  </si>
  <si>
    <t>960</t>
  </si>
  <si>
    <t>REVENUE</t>
  </si>
  <si>
    <t>Not Found</t>
  </si>
  <si>
    <t>EXPENSE</t>
  </si>
  <si>
    <t>CURRLIAB</t>
  </si>
  <si>
    <t>EQUITY</t>
  </si>
  <si>
    <t>eyJhbGciOiJSUzI1NiIsImtpZCI6IjFDQUY4RTY2NzcyRDZEQzAyOEQ2NzI2RkQwMjYxNTgxNTcwRUZDMTkiLCJ0eXAiOiJKV1QiLCJ4NXQiOiJISy1PWm5jdGJjQW8xbkp2MENZVmdWY09fQmsifQ.eyJuYmYiOjE3MzIxNjI4NDcsImV4cCI6MTczMjE2NDY0NywiaXNzIjoiaHR0cHM6Ly9pZGVudGl0eS54ZXJvLmNvbSIsImF1ZCI6Imh0dHBzOi8vaWRlbnRpdHkueGVyby5jb20vcmVzb3VyY2VzIiwiY2xpZW50X2lkIjoiNDA5MDgzMzk5QzQ3NDFBRkI4MzVGMDMwNTAxMDhCRTAiLCJzdWIiOiIzNjM0MDRkZGY3OGQ1ZGZjYTJjNzhhOWYwMGY2MzY4NiIsImF1dGhfdGltZSI6MTczMjE2MjgyNSwieGVyb191c2VyaWQiOiJhZDY2NGM5My1iOTYwLTQwODMtOWEwZi0wNDdkNjE2YzliNTUiLCJnbG9iYWxfc2Vzc2lvbl9pZCI6ImI5OTVhYTRlOTQxNTRjNTk5ZmU4NGJjZGM1ZWFkM2NjIiwic2lkIjoiYjk5NWFhNGU5NDE1NGM1OTlmZTg0YmNkYzVlYWQzY2MiLCJqdGkiOiI0MzdCMjcxMjEwQTAwMTE1QkNFMDEyNjFGQ0FDNUFGQSIsImF1dGhlbnRpY2F0aW9uX2V2ZW50X2lkIjoiOThhMDUwYzItOGVhZS00OGYwLWEyNzUtNDJiMWZjNWUxNDQ0Iiwic2NvcGUiOlsiZW1haWwiLCJwcm9maWxlIiwib3BlbmlkIiwiYWNjb3VudGluZy5yZXBvcnRzLnJlYWQiLCJhY2NvdW50aW5nLnNldHRpbmdzIiwiYWNjb3VudGluZy5zZXR0aW5ncy5yZWFkIiwiYXNzZXRzLnJlYWQiLCJhc3NldHMiLCJhY2NvdW50aW5nLmNvbnRhY3RzIiwib2ZmbGluZV9hY2Nlc3MiXSwiYW1yIjpbInB3ZCIsIm1mYSIsIm90cCJdfQ.K5PNkdUB1hCWs12KbF6Rg1U7p9BPyYAD4CaWWZLVbA0gEQD9bHcC41_afP1ek4iLKIBtP8VNM6IOx3vZxK5jSxOzECWM3j3Ary3mJ8EcK1bvKBiTM9ldYQc9SeHqeRDhqiq0ZBPkWPtc3X1GbTXK1sGRDhBaI2io-b9bjbpfDblLBiJ0rgGrXfNYzDpe13Xp18lilT2xDFv3ofCknoZIepe4gzp9p5jpmlwBN1rkcGmfIk0N0aDzSr_RerNjoQMDB6ekKVdvLz-dJawu6MCutLphSlEVUv20H2EHZq1vE5ATiGQ1TbGTUCznEBlgg9639m1d4ub4-bgfcyS6sgFmsw</t>
  </si>
  <si>
    <t>HVxHBZzWBzoTY-kbjxVYwNQgjP0GoXVPGEFDfBsIZ98</t>
  </si>
  <si>
    <t>C:\Users\Jiawei Qi\Documents\Intern\test\2025</t>
    <phoneticPr fontId="19" type="noConversion"/>
  </si>
  <si>
    <t>File Link</t>
    <phoneticPr fontId="19" type="noConversion"/>
  </si>
  <si>
    <t>eyJhbGciOiJSUzI1NiIsImtpZCI6IjFDQUY4RTY2NzcyRDZEQzAyOEQ2NzI2RkQwMjYxNTgxNTcwRUZDMTkiLCJ0eXAiOiJKV1QiLCJ4NXQiOiJISy1PWm5jdGJjQW8xbkp2MENZVmdWY09fQmsifQ.eyJuYmYiOjE3MzIxNjYzNzIsImV4cCI6MTczMjE2ODE3MiwiaXNzIjoiaHR0cHM6Ly9pZGVudGl0eS54ZXJvLmNvbSIsImF1ZCI6Imh0dHBzOi8vaWRlbnRpdHkueGVyby5jb20vcmVzb3VyY2VzIiwiY2xpZW50X2lkIjoiNDA5MDgzMzk5QzQ3NDFBRkI4MzVGMDMwNTAxMDhCRTAiLCJzdWIiOiIzNjM0MDRkZGY3OGQ1ZGZjYTJjNzhhOWYwMGY2MzY4NiIsImF1dGhfdGltZSI6MTczMjE2NjM0OCwieGVyb191c2VyaWQiOiJhZDY2NGM5My1iOTYwLTQwODMtOWEwZi0wNDdkNjE2YzliNTUiLCJnbG9iYWxfc2Vzc2lvbl9pZCI6ImNlNmY0YTZhMjM2NTRlN2U5YmMzMWFlYzE4YTI5YTU3Iiwic2lkIjoiY2U2ZjRhNmEyMzY1NGU3ZTliYzMxYWVjMThhMjlhNTciLCJqdGkiOiIyOTNCQkRDQ0RDRjlEMjJGMERFOTJFMDAyQTgyQkFFNCIsImF1dGhlbnRpY2F0aW9uX2V2ZW50X2lkIjoiZjVmZDY0M2QtYjBiNy00NTY1LWJhNDItNmY2ZjE5ZTMzYTFlIiwic2NvcGUiOlsiZW1haWwiLCJwcm9maWxlIiwib3BlbmlkIiwiYWNjb3VudGluZy5yZXBvcnRzLnJlYWQiLCJhY2NvdW50aW5nLnNldHRpbmdzIiwiYWNjb3VudGluZy5zZXR0aW5ncy5yZWFkIiwiYXNzZXRzLnJlYWQiLCJhc3NldHMiLCJhY2NvdW50aW5nLmNvbnRhY3RzIiwib2ZmbGluZV9hY2Nlc3MiXSwiYW1yIjpbInB3ZCIsIm1mYSIsIm90cCJdfQ.NJ7jn8QuJQoTx2CrQEeLDRCeoDf-aLDw7-0XEC_6RnIhefkVZwXUFbnZxQ-4rSM0GAZESMAM35YB6ZFabuzchULaG5mQSXRA65ThMfTKIeNhkE-fb3CGQ9FFGG8cLQaRpqiS68zlgLx6X-cLg9ruTlsn-JBWNwzp7Ir42eUM5rkkgxOgBjkbEW1AmMv-y2k9yW4xdkOeKA44hpcPZ3sEYWXf_eiP-EFmHpB_tLRdjDKD3--qx7bH47aDJWBa_KYUM8xXGu4j90OVIm0JN7N24Va8MxrmCpT-_wA6sDEGM2MrrKD0ccwQDu7DmQq0-m0b_J-7JX6-jSEM0eo1WpgyhA</t>
  </si>
  <si>
    <t>uRhkvZDDARheOFo7HT5NTj2et9XSu5B8vJCK8j0yo08</t>
  </si>
  <si>
    <t>200</t>
  </si>
  <si>
    <t>e2bacdc6-2006-43c2-a5da-3c0e5f43b452</t>
  </si>
  <si>
    <t>412</t>
  </si>
  <si>
    <t>6db51cfa-0326-4e63-a743-c78c4d99aba4</t>
  </si>
  <si>
    <t>453</t>
  </si>
  <si>
    <t>Office Expenses (453)</t>
  </si>
  <si>
    <t>8ab9d684-f897-4168-b5d1-2279bf74bb82</t>
  </si>
  <si>
    <t>b18eaea6-4d11-462c-ac30-7975108b5859</t>
  </si>
  <si>
    <t>13918178-849a-4823-9a31-57b7eac713d7</t>
  </si>
  <si>
    <t>Accounts Payable (800)</t>
  </si>
  <si>
    <t>8e9c5166-d3fe-4e21-827a-f42753568e80</t>
  </si>
  <si>
    <t>66e60a82-99d8-47d1-956b-5baea404acba</t>
  </si>
  <si>
    <t>Retained Earnings (960)</t>
  </si>
  <si>
    <t>e2eda5d3-a80f-45ff-af4c-74472fd904d4</t>
  </si>
  <si>
    <t>BANK</t>
  </si>
  <si>
    <t>Processing complete</t>
    <phoneticPr fontId="19" type="noConversion"/>
  </si>
  <si>
    <t>eyJhbGciOiJSUzI1NiIsImtpZCI6IjFDQUY4RTY2NzcyRDZEQzAyOEQ2NzI2RkQwMjYxNTgxNTcwRUZDMTkiLCJ0eXAiOiJKV1QiLCJ4NXQiOiJISy1PWm5jdGJjQW8xbkp2MENZVmdWY09fQmsifQ.eyJuYmYiOjE3MzI1NzM5NDIsImV4cCI6MTczMjU3NTc0MiwiaXNzIjoiaHR0cHM6Ly9pZGVudGl0eS54ZXJvLmNvbSIsImF1ZCI6Imh0dHBzOi8vaWRlbnRpdHkueGVyby5jb20vcmVzb3VyY2VzIiwiY2xpZW50X2lkIjoiNDA5MDgzMzk5QzQ3NDFBRkI4MzVGMDMwNTAxMDhCRTAiLCJzdWIiOiIzNjM0MDRkZGY3OGQ1ZGZjYTJjNzhhOWYwMGY2MzY4NiIsImF1dGhfdGltZSI6MTczMjU3MzkxNiwieGVyb191c2VyaWQiOiJhZDY2NGM5My1iOTYwLTQwODMtOWEwZi0wNDdkNjE2YzliNTUiLCJnbG9iYWxfc2Vzc2lvbl9pZCI6IjE1ODIyMTU5NDNlMjRjMTNiOTI1MmRjMmJjZmJmMTkzIiwic2lkIjoiMTU4MjIxNTk0M2UyNGMxM2I5MjUyZGMyYmNmYmYxOTMiLCJqdGkiOiIzNzEyMjVGNDA1NTIwQkZDRjYxMjhFMDY4RDUwMTlENCIsImF1dGhlbnRpY2F0aW9uX2V2ZW50X2lkIjoiOGZjYTc3MTUtZWEyYy00MDMwLTgxM2QtMTc1NWYyNzM4YmM5Iiwic2NvcGUiOlsiZW1haWwiLCJwcm9maWxlIiwib3BlbmlkIiwiYWNjb3VudGluZy5yZXBvcnRzLnJlYWQiLCJhY2NvdW50aW5nLnNldHRpbmdzIiwiYWNjb3VudGluZy5zZXR0aW5ncy5yZWFkIiwiYXNzZXRzLnJlYWQiLCJhc3NldHMiLCJhY2NvdW50aW5nLmNvbnRhY3RzIiwib2ZmbGluZV9hY2Nlc3MiXSwiYW1yIjpbInB3ZCIsIm1mYSIsIm90cCJdfQ.hS9v7chXqTLGY85XZu9NBn4QoYAhQWK63lge44nsRfQ1ZdfWVgrepC2vq0vpJk75on05EUpUeLAekWplRkxIZOwllhNWWij03s-B11uWMy2GMczyn9cVRgAIaMZnQuCmUe-dhEscaYObMCw-16zhBEAZhGsJUfUDLpQ9yerKVHkr0A6jwP5CiGVBThCQXe1ldZjcMdxmL_JT2hME3oIUUWfGjCRsDX9WHvKaD6gdw61qh15KdvSr8m9P54F2PcxOV_fB8nKT4-XlwAz3mVKxnZpkgonYjKRVtGcJePbGI5uIyKd0H77KBVq8-n-mkwILk7Nrr-XStlAYc8mqbF9nZw</t>
  </si>
  <si>
    <t>o4E5AatcMLN-fcoQ4KpBaTdmRgaj9toDI7qnMemp7co</t>
  </si>
  <si>
    <t>eyJhbGciOiJSUzI1NiIsImtpZCI6IjFDQUY4RTY2NzcyRDZEQzAyOEQ2NzI2RkQwMjYxNTgxNTcwRUZDMTkiLCJ0eXAiOiJKV1QiLCJ4NXQiOiJISy1PWm5jdGJjQW8xbkp2MENZVmdWY09fQmsifQ.eyJuYmYiOjE3MzI1NzUzNDAsImV4cCI6MTczMjU3NzE0MCwiaXNzIjoiaHR0cHM6Ly9pZGVudGl0eS54ZXJvLmNvbSIsImF1ZCI6Imh0dHBzOi8vaWRlbnRpdHkueGVyby5jb20vcmVzb3VyY2VzIiwiY2xpZW50X2lkIjoiNDA5MDgzMzk5QzQ3NDFBRkI4MzVGMDMwNTAxMDhCRTAiLCJzdWIiOiIzNjM0MDRkZGY3OGQ1ZGZjYTJjNzhhOWYwMGY2MzY4NiIsImF1dGhfdGltZSI6MTczMjU3NTMxNCwieGVyb191c2VyaWQiOiJhZDY2NGM5My1iOTYwLTQwODMtOWEwZi0wNDdkNjE2YzliNTUiLCJnbG9iYWxfc2Vzc2lvbl9pZCI6IjQyOWIyYzMyYjI4MzQ5MjdiMDRlYTc4YmQyZjFhMzc5Iiwic2lkIjoiNDI5YjJjMzJiMjgzNDkyN2IwNGVhNzhiZDJmMWEzNzkiLCJqdGkiOiIyNjU4QkY3REJCQkUyMDgyMkVBRTAwQ0I1MURCQjdEMSIsImF1dGhlbnRpY2F0aW9uX2V2ZW50X2lkIjoiNDE4OTIwNzktYTZlMS00YWU2LWI5YjQtODg4ZjJlYmM3YjRkIiwic2NvcGUiOlsiZW1haWwiLCJwcm9maWxlIiwib3BlbmlkIiwiYWNjb3VudGluZy5yZXBvcnRzLnJlYWQiLCJhY2NvdW50aW5nLnNldHRpbmdzIiwiYWNjb3VudGluZy5zZXR0aW5ncy5yZWFkIiwiYXNzZXRzLnJlYWQiLCJhc3NldHMiLCJhY2NvdW50aW5nLmNvbnRhY3RzIiwib2ZmbGluZV9hY2Nlc3MiXSwiYW1yIjpbInB3ZCIsIm1mYSIsIm90cCJdfQ.j0i_ZQcayzBb2R-lPWLuFMLLEEmotruneWT73yhWJCuGda-o4HNdDB6lHnk-JpvmqqEZZGj9Hipls7Wm-W3ewYTz5HKGtFMiWf2IRD4h5trUko7iSfbILQjcsYefedhpC7a1GQ2U5ggedrLazFtPfRn56uiOwv4IRD7LJwLQr3hLjp1MIrNI4l9RRDDxib3SV_NVZ6IHvAB2xL8dYrQYzD-2_gPxRIENzy4AQvFwdXMgN6-dOxxGT0fM1gQ2P-TmpqAXoSygap0roVHNnIbHByJlLjUDX0zh4_EnBrzTL1-7E2ZzOBkKii4ZUiHJCBdK3BRAFssKoeg0MpOk_c8nPQ</t>
  </si>
  <si>
    <t>B9wRxbABcg70WUxIEjnEuH3LZawpYzUbFulgsm_xsHI</t>
  </si>
  <si>
    <t>eyJhbGciOiJSUzI1NiIsImtpZCI6IjFDQUY4RTY2NzcyRDZEQzAyOEQ2NzI2RkQwMjYxNTgxNTcwRUZDMTkiLCJ0eXAiOiJKV1QiLCJ4NXQiOiJISy1PWm5jdGJjQW8xbkp2MENZVmdWY09fQmsifQ.eyJuYmYiOjE3MzI1OTA0OTcsImV4cCI6MTczMjU5MjI5NywiaXNzIjoiaHR0cHM6Ly9pZGVudGl0eS54ZXJvLmNvbSIsImF1ZCI6Imh0dHBzOi8vaWRlbnRpdHkueGVyby5jb20vcmVzb3VyY2VzIiwiY2xpZW50X2lkIjoiNDA5MDgzMzk5QzQ3NDFBRkI4MzVGMDMwNTAxMDhCRTAiLCJzdWIiOiIzNjM0MDRkZGY3OGQ1ZGZjYTJjNzhhOWYwMGY2MzY4NiIsImF1dGhfdGltZSI6MTczMjU5MDQ2OSwieGVyb191c2VyaWQiOiJhZDY2NGM5My1iOTYwLTQwODMtOWEwZi0wNDdkNjE2YzliNTUiLCJnbG9iYWxfc2Vzc2lvbl9pZCI6ImQ2NWM3ZTVmZjcxNTRjOGJiOGNhODNjZjhkZDZhYjc5Iiwic2lkIjoiZDY1YzdlNWZmNzE1NGM4YmI4Y2E4M2NmOGRkNmFiNzkiLCJqdGkiOiJGNTRGRkU4MTE0N0FCRjVBNTQwMUVBNzE4NzZCMDU3NiIsImF1dGhlbnRpY2F0aW9uX2V2ZW50X2lkIjoiYjAyMDg5ZmItOGQ0ZC00ODg4LWJjZjEtN2E3Mjk3NmEwODAyIiwic2NvcGUiOlsiZW1haWwiLCJwcm9maWxlIiwib3BlbmlkIiwiYWNjb3VudGluZy5yZXBvcnRzLnJlYWQiLCJhY2NvdW50aW5nLnNldHRpbmdzIiwiYWNjb3VudGluZy5zZXR0aW5ncy5yZWFkIiwiYXNzZXRzLnJlYWQiLCJhc3NldHMiLCJhY2NvdW50aW5nLmNvbnRhY3RzIiwib2ZmbGluZV9hY2Nlc3MiXSwiYW1yIjpbInB3ZCIsIm1mYSIsIm90cCJdfQ.M9FPCYEAYr3yZKzl0LAtZ40OO2KqW-w72fzGT9d3eVfBNTeLYIkZ5Qw85ZWVOahPD3BQPDTv8W8Jd-GknrXD0KmJFQvbEjpNh3Mo_EUfdxgFAMEAPXcJrN24-TgJra-14_q4uQaWtq4bQ1lcR7_gyD1Q-ah3ybsVwvDFSpRqMQBYB0iJfC3bvqJLSSkqkcvCD0FXr4dbnnXnEZK_SKyUFt-S8QE-OKSwefjSK6jPQaffgOl21aGAnuIGXG7buFrzcfxlSJk2tsOeGpmeeorNGYcrgG7HiBoeWoxGjYbQfMZmxJN6ZbiE97Y77u2cw-f3Oqtnat5IhftMKmUQaFcx6Q</t>
  </si>
  <si>
    <t>36AHjatKCq7Bov7FdxJZC_6n21d_07d2nKHxKH9Q1rc</t>
  </si>
  <si>
    <t>eyJhbGciOiJSUzI1NiIsImtpZCI6IjFDQUY4RTY2NzcyRDZEQzAyOEQ2NzI2RkQwMjYxNTgxNTcwRUZDMTkiLCJ0eXAiOiJKV1QiLCJ4NXQiOiJISy1PWm5jdGJjQW8xbkp2MENZVmdWY09fQmsifQ.eyJuYmYiOjE3MzI1OTA5MzAsImV4cCI6MTczMjU5MjczMCwiaXNzIjoiaHR0cHM6Ly9pZGVudGl0eS54ZXJvLmNvbSIsImF1ZCI6Imh0dHBzOi8vaWRlbnRpdHkueGVyby5jb20vcmVzb3VyY2VzIiwiY2xpZW50X2lkIjoiNDA5MDgzMzk5QzQ3NDFBRkI4MzVGMDMwNTAxMDhCRTAiLCJzdWIiOiIzNjM0MDRkZGY3OGQ1ZGZjYTJjNzhhOWYwMGY2MzY4NiIsImF1dGhfdGltZSI6MTczMjU5MDkwNiwieGVyb191c2VyaWQiOiJhZDY2NGM5My1iOTYwLTQwODMtOWEwZi0wNDdkNjE2YzliNTUiLCJnbG9iYWxfc2Vzc2lvbl9pZCI6IjJjMzUxMzJjYjZjNjRlNzViMjQ1OTQwZjhkNzVlNDZlIiwic2lkIjoiMmMzNTEzMmNiNmM2NGU3NWIyNDU5NDBmOGQ3NWU0NmUiLCJqdGkiOiI5QzYzRDFDNEUzQ0I2RjdGNkExRTQwODEwRUJDQzJGMiIsImF1dGhlbnRpY2F0aW9uX2V2ZW50X2lkIjoiNzBjNmJjMWMtMDVlZS00ZmI1LTlkZWYtMmEzOTBjMjhiNmJkIiwic2NvcGUiOlsiZW1haWwiLCJwcm9maWxlIiwib3BlbmlkIiwiYWNjb3VudGluZy5yZXBvcnRzLnJlYWQiLCJhY2NvdW50aW5nLnNldHRpbmdzIiwiYWNjb3VudGluZy5zZXR0aW5ncy5yZWFkIiwiYXNzZXRzLnJlYWQiLCJhc3NldHMiLCJhY2NvdW50aW5nLmNvbnRhY3RzIiwib2ZmbGluZV9hY2Nlc3MiXSwiYW1yIjpbInB3ZCIsIm1mYSIsIm90cCJdfQ.lvdMxfn-OJMaWeyi_Ph7AJMBnpCOaVAg6LDW3yUBpbyFJ85dvdfgS9LVaCMr2PtWhuXusab4CoH4mZ8eQAoLSzyiSTUTid8GhujZATLestwpp6c7iBgsq-ZvOUANG99dYAaztUHm2E6Q6Nzi3S24_oejZZrSwFm0PAgN66dNADEIXcls19rK4qukFcWqiGAb0KBr4edFfGpgbz3TqoGhxqlkgWNqE3E5_qBkHxp9CQQi7RJ7p0gacgiQIfEFU_e11KeQZheUxEKmemma3Y5czDGFJnHk5ei1w11AUmrQl5snjViwcLkLvQOmrsn8FcZpU2ZX9zWzWibpGvnnUfRVjg</t>
  </si>
  <si>
    <t>UGYHWna-y4dozBbakuijappcbidSrbC5Ws5hcEdO284</t>
  </si>
  <si>
    <t>Jiawei Qi</t>
    <phoneticPr fontId="27" type="noConversion"/>
  </si>
  <si>
    <t xml:space="preserve">- Debit </t>
    <phoneticPr fontId="27" type="noConversion"/>
  </si>
  <si>
    <t>- Credit</t>
    <phoneticPr fontId="27" type="noConversion"/>
  </si>
  <si>
    <t>eyJhbGciOiJSUzI1NiIsImtpZCI6IjFDQUY4RTY2NzcyRDZEQzAyOEQ2NzI2RkQwMjYxNTgxNTcwRUZDMTkiLCJ0eXAiOiJKV1QiLCJ4NXQiOiJISy1PWm5jdGJjQW8xbkp2MENZVmdWY09fQmsifQ.eyJuYmYiOjE3MzI1OTM3ODcsImV4cCI6MTczMjU5NTU4NywiaXNzIjoiaHR0cHM6Ly9pZGVudGl0eS54ZXJvLmNvbSIsImF1ZCI6Imh0dHBzOi8vaWRlbnRpdHkueGVyby5jb20vcmVzb3VyY2VzIiwiY2xpZW50X2lkIjoiNDA5MDgzMzk5QzQ3NDFBRkI4MzVGMDMwNTAxMDhCRTAiLCJzdWIiOiIzNjM0MDRkZGY3OGQ1ZGZjYTJjNzhhOWYwMGY2MzY4NiIsImF1dGhfdGltZSI6MTczMjU5Mzc2MCwieGVyb191c2VyaWQiOiJhZDY2NGM5My1iOTYwLTQwODMtOWEwZi0wNDdkNjE2YzliNTUiLCJnbG9iYWxfc2Vzc2lvbl9pZCI6IjdjMDQ1M2Y5YWU0NTRiYjU4OGI5OTU1ZDcyMTA1NDY4Iiwic2lkIjoiN2MwNDUzZjlhZTQ1NGJiNTg4Yjk5NTVkNzIxMDU0NjgiLCJqdGkiOiIyQzI0NkRBRDA5QTMzMjdDMkY1OUFFMzBEQUVBRTBGRCIsImF1dGhlbnRpY2F0aW9uX2V2ZW50X2lkIjoiYmE2ZDJkMTEtMzY0Zi00NTMwLTgzY2UtNDk3YjFhMWE2Zjc3Iiwic2NvcGUiOlsiZW1haWwiLCJwcm9maWxlIiwib3BlbmlkIiwiYWNjb3VudGluZy5yZXBvcnRzLnJlYWQiLCJhY2NvdW50aW5nLnNldHRpbmdzIiwiYWNjb3VudGluZy5zZXR0aW5ncy5yZWFkIiwiYXNzZXRzLnJlYWQiLCJhc3NldHMiLCJhY2NvdW50aW5nLmNvbnRhY3RzIiwib2ZmbGluZV9hY2Nlc3MiXSwiYW1yIjpbInB3ZCIsIm1mYSIsIm90cCJdfQ.NkXyzbUIxPukFWbtjfDTtLBSHS5w_l3oG8vhrAT4zW2boaStjuhjvc2VBsLlyAVLQEI1FPOHI4-5hNzxGRIO2XAZKh95QkZoPYOztIyFXZj1dEEB4jr0D5up3F52Z9c6uLmE4XDy6C6_VYoqqxDmsYOGwCAXk6ncD4K1z06bkib1bL_0Ydgr3Gmj_icnydFHOi6iusEuEu3tApRolJwGtxGl_WJLkVTW9qJ-vNUsHGioYIxyjrj5Y0sBBgyeDTvadNVHwcbm_wGvsjX5n3t7egZf335U5QD3MIjvhedm5YsfQlkFOvzQkIzhmn8KwN7aPMufsfO_skqaduapLqJg2Q</t>
  </si>
  <si>
    <t>6Jh_3hRjCs_C2n_EmrBkFJydO2RbfumyOMId8sxTyq8</t>
  </si>
  <si>
    <t>eyJhbGciOiJSUzI1NiIsImtpZCI6IjFDQUY4RTY2NzcyRDZEQzAyOEQ2NzI2RkQwMjYxNTgxNTcwRUZDMTkiLCJ0eXAiOiJKV1QiLCJ4NXQiOiJISy1PWm5jdGJjQW8xbkp2MENZVmdWY09fQmsifQ.eyJuYmYiOjE3MzI1OTQwNjQsImV4cCI6MTczMjU5NTg2NCwiaXNzIjoiaHR0cHM6Ly9pZGVudGl0eS54ZXJvLmNvbSIsImF1ZCI6Imh0dHBzOi8vaWRlbnRpdHkueGVyby5jb20vcmVzb3VyY2VzIiwiY2xpZW50X2lkIjoiNDA5MDgzMzk5QzQ3NDFBRkI4MzVGMDMwNTAxMDhCRTAiLCJzdWIiOiIzNjM0MDRkZGY3OGQ1ZGZjYTJjNzhhOWYwMGY2MzY4NiIsImF1dGhfdGltZSI6MTczMjU5NDA0MSwieGVyb191c2VyaWQiOiJhZDY2NGM5My1iOTYwLTQwODMtOWEwZi0wNDdkNjE2YzliNTUiLCJnbG9iYWxfc2Vzc2lvbl9pZCI6IjIwZWM1NmRmOWU4YjQxMTFhNDQzMDQ4YzMyMTc2ODU3Iiwic2lkIjoiMjBlYzU2ZGY5ZThiNDExMWE0NDMwNDhjMzIxNzY4NTciLCJqdGkiOiI1NDA2Nzk0RjdBMjBDN0ZERjY5MDk3QzY0RkZGN0M4MyIsImF1dGhlbnRpY2F0aW9uX2V2ZW50X2lkIjoiODRjODI2YWYtNmMzOC00N2YxLWI4NDAtNzA3Y2EyMjFkYjc5Iiwic2NvcGUiOlsiZW1haWwiLCJwcm9maWxlIiwib3BlbmlkIiwiYWNjb3VudGluZy5yZXBvcnRzLnJlYWQiLCJhY2NvdW50aW5nLnNldHRpbmdzIiwiYWNjb3VudGluZy5zZXR0aW5ncy5yZWFkIiwiYXNzZXRzLnJlYWQiLCJhc3NldHMiLCJhY2NvdW50aW5nLmNvbnRhY3RzIiwib2ZmbGluZV9hY2Nlc3MiXSwiYW1yIjpbInB3ZCIsIm1mYSIsIm90cCJdfQ.EK68TbVITSIgm0207aS4RyxmM8CjG85ge7JodyUm2XTFPT-9l6fvHmsZQtOBWbTJ9grYwnqpi99TlONy4ll1K37_IK-JyKGIZNC0MNtEXveYqNeyLMuCPOexRLxglEo4CzuM5xdR8B6g6ZQrYxxHtaUhfrFax9dwefMxocn9LBEfSL-zWN5EEBGOkpoHGXlqpfU887yR2szZh_XEe8gLuowqAiTRkTVa5fpz57LNyNlhoK_7jBWpWuhuqthdX7J9TwMRQj-gAg76c7GheikL661mPNZtnHaRXizRhOVpbwC-iri7fKUKE3pPc2D4SnHvmK8-xusKqF_LsQ3ZGBRouQ</t>
  </si>
  <si>
    <t>A2KkcWJhLr9ngd6wylTVXKndQTJ-cx5_j9vgOvQ31RU</t>
  </si>
  <si>
    <t>Search</t>
  </si>
  <si>
    <t>Frequency</t>
  </si>
  <si>
    <t>Final List</t>
  </si>
  <si>
    <t>eyJhbGciOiJSUzI1NiIsImtpZCI6IjFDQUY4RTY2NzcyRDZEQzAyOEQ2NzI2RkQwMjYxNTgxNTcwRUZDMTkiLCJ0eXAiOiJKV1QiLCJ4NXQiOiJISy1PWm5jdGJjQW8xbkp2MENZVmdWY09fQmsifQ.eyJuYmYiOjE3MzI1OTQ5MzgsImV4cCI6MTczMjU5NjczOCwiaXNzIjoiaHR0cHM6Ly9pZGVudGl0eS54ZXJvLmNvbSIsImF1ZCI6Imh0dHBzOi8vaWRlbnRpdHkueGVyby5jb20vcmVzb3VyY2VzIiwiY2xpZW50X2lkIjoiNDA5MDgzMzk5QzQ3NDFBRkI4MzVGMDMwNTAxMDhCRTAiLCJzdWIiOiIzNjM0MDRkZGY3OGQ1ZGZjYTJjNzhhOWYwMGY2MzY4NiIsImF1dGhfdGltZSI6MTczMjU5NDkxMSwieGVyb191c2VyaWQiOiJhZDY2NGM5My1iOTYwLTQwODMtOWEwZi0wNDdkNjE2YzliNTUiLCJnbG9iYWxfc2Vzc2lvbl9pZCI6IjViZTg4OTM1Y2M5MjRhMTFiNzUwNDJlODgxYWIyNjdiIiwic2lkIjoiNWJlODg5MzVjYzkyNGExMWI3NTA0MmU4ODFhYjI2N2IiLCJqdGkiOiI3NEI2MkI3RUYzQjkwMzE1OTVFQzdBMzYxMjU4MTUwNSIsImF1dGhlbnRpY2F0aW9uX2V2ZW50X2lkIjoiMGUyYTYzYzMtYmM5OC00OWJlLThhYzItM2ZhOWMyNWExN2M1Iiwic2NvcGUiOlsiZW1haWwiLCJwcm9maWxlIiwib3BlbmlkIiwiYWNjb3VudGluZy5yZXBvcnRzLnJlYWQiLCJhY2NvdW50aW5nLnNldHRpbmdzIiwiYWNjb3VudGluZy5zZXR0aW5ncy5yZWFkIiwiYXNzZXRzLnJlYWQiLCJhc3NldHMiLCJhY2NvdW50aW5nLmNvbnRhY3RzIiwib2ZmbGluZV9hY2Nlc3MiXSwiYW1yIjpbInB3ZCIsIm1mYSIsIm90cCJdfQ.Ryt1gCThJ1Y-icooEg_ThSNCeH6JcJf_6H0ym-M1ZWAYNrg1vflCS4q-5_py4ORfwJGZSynCmgKASUMY2qBRvVmttyhaXwE2pLHs2AJS1zRsE-4VLkDunxC_Fu_az6U-bQcdNCaAklL3DYO-9yw3IEZ-3zLgJmSyWoDpQ3gl_R5nwubz12M9lRg9x6-ETBcSLKGVE0cI5vd1DWAUgcSECFXq0dlQkg9L3WAYBi2MotKNuSvfteBdPNxh2zlBWctYOvw3U11VIm-svoEcydh5t1DtB022riFxofj9IjSXgiqducEcUFZtwM4tOkGLHDn1CnRbXOx2BZyNr-HIW_q2nw</t>
  </si>
  <si>
    <t>K5_aw4ddVTYncdgoBuqpWduXdQWzY9lvU1LkeuN90no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</si>
</sst>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_-&quot;$&quot;* #,##0.00_-;\-&quot;$&quot;* #,##0.00_-;_-&quot;$&quot;* &quot;-&quot;??_-;_-@_-"/>
    <numFmt numFmtId="177" formatCode="_-* #,##0.00_-;\-* #,##0.00_-;_-* &quot;-&quot;??_-;_-@_-"/>
    <numFmt numFmtId="178" formatCode="#,##0.00;\(#,##0.00\)"/>
    <numFmt numFmtId="179" formatCode="_-&quot;$&quot;#,##0.00_-;\(&quot;$&quot;#,##0.00\)_-;_-&quot;$&quot;* &quot;-&quot;??_-;_-@_-"/>
    <numFmt numFmtId="180" formatCode="_([$$-409]* #,##0.00_);_([$$-409]* \(#,##0.00\);_([$$-409]* &quot;-&quot;??_);_(@_)"/>
  </numFmts>
  <fonts count="45" x14ac:knownFonts="1">
    <font>
      <sz val="11"/>
      <color theme="1"/>
      <name val="等线"/>
      <family val="2"/>
      <scheme val="minor"/>
    </font>
    <font>
      <sz val="10"/>
      <color theme="1"/>
      <name val="Arial"/>
      <family val="2"/>
    </font>
    <font>
      <sz val="11"/>
      <color theme="1"/>
      <name val="等线"/>
      <family val="2"/>
      <scheme val="minor"/>
    </font>
    <font>
      <b/>
      <sz val="11"/>
      <color theme="1"/>
      <name val="等线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Arial"/>
      <family val="2"/>
    </font>
    <font>
      <sz val="8"/>
      <name val="Arial"/>
      <family val="2"/>
    </font>
    <font>
      <u/>
      <sz val="10"/>
      <color indexed="12"/>
      <name val="Arial"/>
      <family val="2"/>
    </font>
    <font>
      <sz val="12"/>
      <name val="Arial"/>
      <family val="2"/>
    </font>
    <font>
      <b/>
      <u/>
      <sz val="18"/>
      <name val="Arial"/>
      <family val="2"/>
    </font>
    <font>
      <b/>
      <sz val="14"/>
      <name val="Arial"/>
      <family val="2"/>
    </font>
    <font>
      <b/>
      <u/>
      <sz val="10"/>
      <color theme="1"/>
      <name val="Arial"/>
      <family val="2"/>
    </font>
    <font>
      <u/>
      <sz val="11"/>
      <color theme="10"/>
      <name val="等线"/>
      <family val="2"/>
      <scheme val="minor"/>
    </font>
    <font>
      <b/>
      <sz val="12"/>
      <name val="Arial"/>
      <family val="2"/>
    </font>
    <font>
      <u/>
      <sz val="14"/>
      <color theme="10"/>
      <name val="Arial"/>
      <family val="2"/>
    </font>
    <font>
      <sz val="8"/>
      <name val="等线"/>
      <family val="2"/>
      <scheme val="minor"/>
    </font>
    <font>
      <b/>
      <u/>
      <sz val="11"/>
      <color theme="1"/>
      <name val="等线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rgb="FF000000"/>
      <name val="Arial"/>
      <family val="2"/>
    </font>
    <font>
      <sz val="11"/>
      <color rgb="FF9C0006"/>
      <name val="等线"/>
      <family val="2"/>
      <scheme val="minor"/>
    </font>
    <font>
      <sz val="11"/>
      <color rgb="FF3F3F76"/>
      <name val="等线"/>
      <family val="2"/>
      <scheme val="minor"/>
    </font>
    <font>
      <sz val="11"/>
      <color rgb="FF000000"/>
      <name val="Bahnschrift Light"/>
      <family val="2"/>
    </font>
    <font>
      <sz val="9"/>
      <name val="等线"/>
      <family val="3"/>
      <charset val="134"/>
      <scheme val="minor"/>
    </font>
    <font>
      <sz val="11"/>
      <color theme="1"/>
      <name val="Bahnschrift Light"/>
      <family val="2"/>
    </font>
    <font>
      <b/>
      <sz val="18"/>
      <color theme="1"/>
      <name val="Bahnschrift Light"/>
      <family val="2"/>
    </font>
    <font>
      <b/>
      <sz val="11"/>
      <color theme="0"/>
      <name val="Bahnschrift"/>
      <family val="2"/>
    </font>
    <font>
      <sz val="11"/>
      <color theme="0"/>
      <name val="Bahnschrift"/>
      <family val="2"/>
    </font>
    <font>
      <i/>
      <sz val="11"/>
      <color theme="1"/>
      <name val="Bahnschrift Light"/>
      <family val="2"/>
    </font>
    <font>
      <sz val="9"/>
      <color theme="1"/>
      <name val="Arial"/>
      <family val="2"/>
    </font>
    <font>
      <sz val="11"/>
      <color theme="0"/>
      <name val="Segoe UI Symbol"/>
      <family val="1"/>
    </font>
    <font>
      <b/>
      <sz val="11"/>
      <color theme="1"/>
      <name val="等线"/>
      <family val="3"/>
      <charset val="134"/>
      <scheme val="minor"/>
    </font>
    <font>
      <b/>
      <sz val="11"/>
      <name val="等线"/>
      <family val="2"/>
      <scheme val="minor"/>
    </font>
    <font>
      <sz val="11"/>
      <name val="等线"/>
      <family val="2"/>
      <scheme val="minor"/>
    </font>
    <font>
      <b/>
      <sz val="14"/>
      <color rgb="FF000000"/>
      <name val="Calibri"/>
      <family val="2"/>
    </font>
    <font>
      <b/>
      <u/>
      <sz val="11"/>
      <color theme="10"/>
      <name val="等线"/>
      <family val="2"/>
      <scheme val="minor"/>
    </font>
    <font>
      <sz val="11"/>
      <color rgb="FF000000"/>
      <name val="Calibri"/>
      <family val="2"/>
    </font>
    <font>
      <sz val="10"/>
      <color theme="1"/>
      <name val="Aptos Narrow"/>
      <family val="2"/>
    </font>
    <font>
      <b/>
      <sz val="14"/>
      <color rgb="FF000000"/>
      <name val="等线"/>
      <family val="3"/>
      <charset val="134"/>
    </font>
    <font>
      <sz val="11"/>
      <color rgb="FF000000"/>
      <name val="等线"/>
      <family val="3"/>
      <charset val="134"/>
    </font>
    <font>
      <b/>
      <u/>
      <sz val="11"/>
      <color theme="10"/>
      <name val="等线"/>
      <family val="3"/>
      <charset val="134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D9D9D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21">
    <xf numFmtId="0" fontId="0" fillId="0" borderId="0"/>
    <xf numFmtId="177" fontId="2" fillId="0" borderId="0" applyFont="0" applyFill="0" applyBorder="0" applyAlignment="0" applyProtection="0"/>
    <xf numFmtId="0" fontId="2" fillId="0" borderId="0"/>
    <xf numFmtId="0" fontId="6" fillId="0" borderId="0"/>
    <xf numFmtId="176" fontId="2" fillId="0" borderId="0" applyFont="0" applyFill="0" applyBorder="0" applyAlignment="0" applyProtection="0"/>
    <xf numFmtId="177" fontId="6" fillId="0" borderId="0" applyFont="0" applyFill="0" applyBorder="0" applyAlignment="0" applyProtection="0"/>
    <xf numFmtId="0" fontId="11" fillId="0" borderId="0" applyNumberFormat="0" applyFill="0" applyBorder="0" applyAlignment="0" applyProtection="0">
      <alignment vertical="top"/>
      <protection locked="0"/>
    </xf>
    <xf numFmtId="176" fontId="6" fillId="0" borderId="0" applyFont="0" applyFill="0" applyBorder="0" applyAlignment="0" applyProtection="0"/>
    <xf numFmtId="0" fontId="6" fillId="0" borderId="0"/>
    <xf numFmtId="0" fontId="7" fillId="0" borderId="0"/>
    <xf numFmtId="177" fontId="7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16" fillId="0" borderId="0" applyNumberFormat="0" applyFill="0" applyBorder="0" applyAlignment="0" applyProtection="0"/>
    <xf numFmtId="0" fontId="2" fillId="0" borderId="0"/>
    <xf numFmtId="0" fontId="24" fillId="6" borderId="0" applyNumberFormat="0" applyBorder="0" applyAlignment="0" applyProtection="0"/>
    <xf numFmtId="0" fontId="25" fillId="7" borderId="3" applyNumberFormat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0" fontId="33" fillId="0" borderId="0"/>
    <xf numFmtId="0" fontId="1" fillId="0" borderId="0"/>
    <xf numFmtId="177" fontId="1" fillId="0" borderId="0" applyFont="0" applyFill="0" applyBorder="0" applyAlignment="0" applyProtection="0"/>
  </cellStyleXfs>
  <cellXfs count="81">
    <xf numFmtId="0" fontId="0" fillId="0" borderId="0" xfId="0"/>
    <xf numFmtId="0" fontId="9" fillId="0" borderId="0" xfId="3" applyFont="1"/>
    <xf numFmtId="0" fontId="12" fillId="0" borderId="0" xfId="3" applyFont="1"/>
    <xf numFmtId="0" fontId="7" fillId="0" borderId="0" xfId="0" applyFont="1"/>
    <xf numFmtId="0" fontId="8" fillId="0" borderId="0" xfId="0" applyFont="1"/>
    <xf numFmtId="0" fontId="9" fillId="4" borderId="0" xfId="3" applyFont="1" applyFill="1"/>
    <xf numFmtId="0" fontId="5" fillId="0" borderId="1" xfId="3" applyFont="1" applyBorder="1"/>
    <xf numFmtId="0" fontId="17" fillId="0" borderId="0" xfId="3" applyFont="1" applyAlignment="1">
      <alignment horizontal="right"/>
    </xf>
    <xf numFmtId="0" fontId="9" fillId="5" borderId="0" xfId="3" applyFont="1" applyFill="1"/>
    <xf numFmtId="0" fontId="12" fillId="5" borderId="0" xfId="3" applyFont="1" applyFill="1"/>
    <xf numFmtId="177" fontId="9" fillId="0" borderId="0" xfId="3" applyNumberFormat="1" applyFont="1"/>
    <xf numFmtId="0" fontId="18" fillId="0" borderId="0" xfId="12" applyFont="1" applyFill="1" applyAlignment="1" applyProtection="1"/>
    <xf numFmtId="0" fontId="9" fillId="3" borderId="1" xfId="3" applyFont="1" applyFill="1" applyBorder="1" applyProtection="1">
      <protection locked="0"/>
    </xf>
    <xf numFmtId="0" fontId="13" fillId="0" borderId="0" xfId="3" applyFont="1"/>
    <xf numFmtId="0" fontId="4" fillId="3" borderId="1" xfId="0" applyFont="1" applyFill="1" applyBorder="1" applyProtection="1">
      <protection locked="0"/>
    </xf>
    <xf numFmtId="0" fontId="5" fillId="0" borderId="0" xfId="3" applyFont="1"/>
    <xf numFmtId="0" fontId="20" fillId="0" borderId="0" xfId="0" applyFont="1"/>
    <xf numFmtId="0" fontId="3" fillId="0" borderId="0" xfId="0" applyFont="1"/>
    <xf numFmtId="0" fontId="0" fillId="0" borderId="0" xfId="0" applyProtection="1">
      <protection locked="0"/>
    </xf>
    <xf numFmtId="0" fontId="17" fillId="0" borderId="0" xfId="3" applyFont="1" applyAlignment="1">
      <alignment horizontal="right" vertical="center"/>
    </xf>
    <xf numFmtId="0" fontId="10" fillId="0" borderId="2" xfId="3" applyFont="1" applyBorder="1"/>
    <xf numFmtId="0" fontId="9" fillId="0" borderId="2" xfId="3" applyFont="1" applyBorder="1"/>
    <xf numFmtId="0" fontId="14" fillId="0" borderId="0" xfId="3" applyFont="1"/>
    <xf numFmtId="178" fontId="9" fillId="0" borderId="0" xfId="3" applyNumberFormat="1" applyFont="1"/>
    <xf numFmtId="0" fontId="9" fillId="4" borderId="2" xfId="3" applyFont="1" applyFill="1" applyBorder="1"/>
    <xf numFmtId="0" fontId="12" fillId="0" borderId="0" xfId="3" applyFont="1" applyAlignment="1" applyProtection="1">
      <alignment horizontal="center"/>
      <protection locked="0"/>
    </xf>
    <xf numFmtId="179" fontId="9" fillId="0" borderId="0" xfId="3" applyNumberFormat="1" applyFont="1"/>
    <xf numFmtId="0" fontId="9" fillId="0" borderId="0" xfId="3" applyFont="1" applyProtection="1">
      <protection locked="0"/>
    </xf>
    <xf numFmtId="0" fontId="5" fillId="0" borderId="0" xfId="3" applyFont="1" applyAlignment="1" applyProtection="1">
      <alignment horizontal="center"/>
      <protection locked="0"/>
    </xf>
    <xf numFmtId="0" fontId="9" fillId="0" borderId="0" xfId="3" applyFont="1" applyAlignment="1" applyProtection="1">
      <alignment horizontal="center"/>
      <protection locked="0"/>
    </xf>
    <xf numFmtId="22" fontId="9" fillId="0" borderId="0" xfId="3" applyNumberFormat="1" applyFont="1" applyAlignment="1" applyProtection="1">
      <alignment horizontal="center"/>
      <protection locked="0"/>
    </xf>
    <xf numFmtId="0" fontId="12" fillId="0" borderId="0" xfId="3" applyFont="1" applyProtection="1">
      <protection locked="0"/>
    </xf>
    <xf numFmtId="22" fontId="12" fillId="0" borderId="0" xfId="3" applyNumberFormat="1" applyFont="1" applyAlignment="1" applyProtection="1">
      <alignment horizontal="center"/>
      <protection locked="0"/>
    </xf>
    <xf numFmtId="0" fontId="15" fillId="3" borderId="0" xfId="0" applyFont="1" applyFill="1"/>
    <xf numFmtId="0" fontId="1" fillId="0" borderId="0" xfId="0" applyFont="1"/>
    <xf numFmtId="0" fontId="4" fillId="8" borderId="0" xfId="0" applyFont="1" applyFill="1" applyAlignment="1">
      <alignment vertical="center"/>
    </xf>
    <xf numFmtId="0" fontId="28" fillId="0" borderId="4" xfId="0" applyFont="1" applyBorder="1" applyAlignment="1">
      <alignment vertical="center"/>
    </xf>
    <xf numFmtId="0" fontId="28" fillId="0" borderId="5" xfId="0" applyFont="1" applyBorder="1" applyAlignment="1">
      <alignment vertical="center"/>
    </xf>
    <xf numFmtId="0" fontId="28" fillId="0" borderId="6" xfId="0" applyFont="1" applyBorder="1" applyAlignment="1">
      <alignment vertical="center"/>
    </xf>
    <xf numFmtId="0" fontId="28" fillId="0" borderId="7" xfId="0" applyFont="1" applyBorder="1" applyAlignment="1">
      <alignment vertical="center"/>
    </xf>
    <xf numFmtId="0" fontId="29" fillId="0" borderId="0" xfId="0" applyFont="1"/>
    <xf numFmtId="0" fontId="28" fillId="0" borderId="0" xfId="0" applyFont="1" applyAlignment="1">
      <alignment vertical="center"/>
    </xf>
    <xf numFmtId="0" fontId="28" fillId="0" borderId="8" xfId="0" applyFont="1" applyBorder="1" applyAlignment="1">
      <alignment vertical="center"/>
    </xf>
    <xf numFmtId="0" fontId="30" fillId="8" borderId="0" xfId="0" applyFont="1" applyFill="1"/>
    <xf numFmtId="0" fontId="31" fillId="8" borderId="0" xfId="0" applyFont="1" applyFill="1" applyAlignment="1">
      <alignment vertical="center"/>
    </xf>
    <xf numFmtId="0" fontId="31" fillId="8" borderId="0" xfId="0" quotePrefix="1" applyFont="1" applyFill="1" applyAlignment="1">
      <alignment vertical="center"/>
    </xf>
    <xf numFmtId="0" fontId="32" fillId="0" borderId="0" xfId="0" applyFont="1" applyAlignment="1">
      <alignment vertical="center"/>
    </xf>
    <xf numFmtId="0" fontId="28" fillId="0" borderId="9" xfId="0" applyFont="1" applyBorder="1" applyAlignment="1">
      <alignment vertical="center"/>
    </xf>
    <xf numFmtId="0" fontId="28" fillId="0" borderId="10" xfId="0" applyFont="1" applyBorder="1" applyAlignment="1">
      <alignment vertical="center"/>
    </xf>
    <xf numFmtId="0" fontId="28" fillId="0" borderId="11" xfId="0" applyFont="1" applyBorder="1" applyAlignment="1">
      <alignment vertical="center"/>
    </xf>
    <xf numFmtId="178" fontId="0" fillId="0" borderId="0" xfId="0" applyNumberFormat="1"/>
    <xf numFmtId="0" fontId="35" fillId="0" borderId="0" xfId="0" applyFont="1"/>
    <xf numFmtId="0" fontId="36" fillId="0" borderId="0" xfId="0" applyFont="1"/>
    <xf numFmtId="0" fontId="16" fillId="0" borderId="0" xfId="12"/>
    <xf numFmtId="0" fontId="1" fillId="0" borderId="0" xfId="0" quotePrefix="1" applyFont="1"/>
    <xf numFmtId="0" fontId="0" fillId="0" borderId="0" xfId="0" applyAlignment="1">
      <alignment horizontal="left" indent="2"/>
    </xf>
    <xf numFmtId="0" fontId="36" fillId="0" borderId="0" xfId="0" applyFont="1" applyAlignment="1">
      <alignment horizontal="left" indent="2"/>
    </xf>
    <xf numFmtId="0" fontId="0" fillId="0" borderId="12" xfId="0" applyBorder="1"/>
    <xf numFmtId="0" fontId="8" fillId="0" borderId="12" xfId="0" applyFont="1" applyBorder="1"/>
    <xf numFmtId="0" fontId="3" fillId="3" borderId="0" xfId="0" applyFont="1" applyFill="1" applyProtection="1">
      <protection locked="0"/>
    </xf>
    <xf numFmtId="0" fontId="1" fillId="2" borderId="0" xfId="0" applyFont="1" applyFill="1" applyAlignment="1" applyProtection="1">
      <alignment wrapText="1"/>
      <protection locked="0"/>
    </xf>
    <xf numFmtId="0" fontId="16" fillId="9" borderId="1" xfId="12" applyFill="1" applyBorder="1" applyProtection="1">
      <protection locked="0"/>
    </xf>
    <xf numFmtId="0" fontId="9" fillId="9" borderId="1" xfId="3" applyFont="1" applyFill="1" applyBorder="1" applyProtection="1">
      <protection locked="0"/>
    </xf>
    <xf numFmtId="0" fontId="39" fillId="0" borderId="0" xfId="12" applyFont="1" applyProtection="1">
      <protection locked="0"/>
    </xf>
    <xf numFmtId="0" fontId="16" fillId="0" borderId="0" xfId="12" applyFill="1" applyProtection="1">
      <protection locked="0"/>
    </xf>
    <xf numFmtId="0" fontId="16" fillId="0" borderId="0" xfId="12" applyProtection="1">
      <protection locked="0"/>
    </xf>
    <xf numFmtId="0" fontId="39" fillId="0" borderId="0" xfId="12" applyFont="1" applyFill="1" applyProtection="1">
      <protection locked="0"/>
    </xf>
    <xf numFmtId="0" fontId="16" fillId="0" borderId="0" xfId="12" applyProtection="1"/>
    <xf numFmtId="0" fontId="41" fillId="0" borderId="0" xfId="0" applyFont="1"/>
    <xf numFmtId="0" fontId="37" fillId="0" borderId="0" xfId="0" applyFont="1" applyAlignment="1">
      <alignment horizontal="center" vertical="center"/>
    </xf>
    <xf numFmtId="0" fontId="37" fillId="0" borderId="12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1" fillId="0" borderId="0" xfId="0" applyFont="1" applyAlignment="1" applyProtection="1">
      <alignment wrapText="1"/>
      <protection locked="0"/>
    </xf>
    <xf numFmtId="22" fontId="0" fillId="0" borderId="0" xfId="0" applyNumberFormat="1"/>
    <xf numFmtId="178" fontId="35" fillId="0" borderId="0" xfId="0" applyNumberFormat="1" applyFont="1"/>
    <xf numFmtId="0" fontId="44" fillId="0" borderId="0" xfId="12" applyFont="1" applyFill="1" applyProtection="1">
      <protection locked="0"/>
    </xf>
    <xf numFmtId="0" fontId="5" fillId="0" borderId="0" xfId="3" quotePrefix="1" applyFont="1"/>
    <xf numFmtId="180" fontId="5" fillId="0" borderId="0" xfId="3" applyNumberFormat="1" applyFont="1"/>
    <xf numFmtId="180" fontId="5" fillId="0" borderId="0" xfId="1" applyNumberFormat="1" applyFont="1"/>
    <xf numFmtId="177" fontId="1" fillId="0" borderId="0" xfId="0" applyNumberFormat="1" applyFont="1"/>
    <xf numFmtId="0" fontId="0" fillId="9" borderId="1" xfId="0" applyFill="1" applyBorder="1" applyProtection="1">
      <protection locked="0"/>
    </xf>
  </cellXfs>
  <cellStyles count="21">
    <cellStyle name="Bad 2" xfId="14" xr:uid="{6CA2D075-7C82-4B01-B6B7-BD148FAA83AD}"/>
    <cellStyle name="Comma" xfId="1" builtinId="3"/>
    <cellStyle name="Comma 2" xfId="5" xr:uid="{65BED4F8-A2E6-42DF-B4DF-2B7182A2233C}"/>
    <cellStyle name="Comma 2 10" xfId="16" xr:uid="{3CBE8A37-0FCD-48A3-A003-3D4F3896DB3A}"/>
    <cellStyle name="Comma 2 2 2" xfId="17" xr:uid="{0F2BFAC5-ABBF-4668-A4E3-B440F7EA736E}"/>
    <cellStyle name="Comma 3" xfId="10" xr:uid="{72C74A51-73A1-4DF5-A950-89F39747CFC9}"/>
    <cellStyle name="Comma 3 2" xfId="20" xr:uid="{8E6AE051-DD22-495D-823F-11122CC48C63}"/>
    <cellStyle name="Currency 2" xfId="7" xr:uid="{D4682560-00D5-4EE3-858A-A50EFB06E51B}"/>
    <cellStyle name="Currency 9" xfId="4" xr:uid="{92FC6772-38EB-4DC4-8F95-571FE1A7FD9A}"/>
    <cellStyle name="Hyperlink" xfId="12" builtinId="8"/>
    <cellStyle name="Hyperlink 2" xfId="6" xr:uid="{38B3C150-7351-4B78-B7DE-D477C6580336}"/>
    <cellStyle name="Input 2" xfId="15" xr:uid="{4DC96BD4-33E6-4FC1-B5DC-9304AA7A616A}"/>
    <cellStyle name="Normal" xfId="0" builtinId="0"/>
    <cellStyle name="Normal 11" xfId="13" xr:uid="{029E94B5-A538-4767-AC65-2C001EB7D7E9}"/>
    <cellStyle name="Normal 2" xfId="3" xr:uid="{CE0D3BC8-81BF-44C6-9DBE-83C6B23D9676}"/>
    <cellStyle name="Normal 25" xfId="2" xr:uid="{1FA1BBB0-4059-4642-BEBF-500C9862DA9A}"/>
    <cellStyle name="Normal 3" xfId="9" xr:uid="{836A6D25-00DF-42C4-896C-174633F4A908}"/>
    <cellStyle name="Normal 3 2" xfId="19" xr:uid="{C61E180C-0265-40CE-B604-F7444EB5C079}"/>
    <cellStyle name="Normal 4" xfId="18" xr:uid="{3D175AEC-BD9B-49CF-A352-9754D6D033A6}"/>
    <cellStyle name="Normal 9" xfId="8" xr:uid="{004309E3-4811-45DB-8EF9-9B7FC0EC9A69}"/>
    <cellStyle name="Percent 2" xfId="11" xr:uid="{51BE7098-2FE4-467C-BF5A-D73611CF67E3}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219075</xdr:colOff>
      <xdr:row>14</xdr:row>
      <xdr:rowOff>190500</xdr:rowOff>
    </xdr:from>
    <xdr:to>
      <xdr:col>9</xdr:col>
      <xdr:colOff>314325</xdr:colOff>
      <xdr:row>20</xdr:row>
      <xdr:rowOff>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468DABC-D248-4F66-ACB6-648826342B46}"/>
            </a:ext>
          </a:extLst>
        </xdr:cNvPr>
        <xdr:cNvSpPr/>
      </xdr:nvSpPr>
      <xdr:spPr>
        <a:xfrm>
          <a:off x="781050" y="3362325"/>
          <a:ext cx="4662488" cy="1181100"/>
        </a:xfrm>
        <a:prstGeom prst="roundRect">
          <a:avLst/>
        </a:prstGeom>
        <a:solidFill>
          <a:srgbClr val="FDF6BF"/>
        </a:solidFill>
        <a:ln w="31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6</xdr:row>
          <xdr:rowOff>161925</xdr:rowOff>
        </xdr:from>
        <xdr:to>
          <xdr:col>3</xdr:col>
          <xdr:colOff>523875</xdr:colOff>
          <xdr:row>8</xdr:row>
          <xdr:rowOff>66675</xdr:rowOff>
        </xdr:to>
        <xdr:sp macro="" textlink="">
          <xdr:nvSpPr>
            <xdr:cNvPr id="169985" name="Button 1" hidden="1">
              <a:extLst>
                <a:ext uri="{63B3BB69-23CF-44E3-9099-C40C66FF867C}">
                  <a14:compatExt spid="_x0000_s169985"/>
                </a:ext>
                <a:ext uri="{FF2B5EF4-FFF2-40B4-BE49-F238E27FC236}">
                  <a16:creationId xmlns:a16="http://schemas.microsoft.com/office/drawing/2014/main" id="{00000000-0008-0000-0300-0000019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Bahnschrift Light"/>
                </a:rPr>
                <a:t>Login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11</xdr:row>
          <xdr:rowOff>200025</xdr:rowOff>
        </xdr:from>
        <xdr:to>
          <xdr:col>4</xdr:col>
          <xdr:colOff>504825</xdr:colOff>
          <xdr:row>13</xdr:row>
          <xdr:rowOff>104775</xdr:rowOff>
        </xdr:to>
        <xdr:sp macro="" textlink="">
          <xdr:nvSpPr>
            <xdr:cNvPr id="169986" name="Button 2" hidden="1">
              <a:extLst>
                <a:ext uri="{63B3BB69-23CF-44E3-9099-C40C66FF867C}">
                  <a14:compatExt spid="_x0000_s169986"/>
                </a:ext>
                <a:ext uri="{FF2B5EF4-FFF2-40B4-BE49-F238E27FC236}">
                  <a16:creationId xmlns:a16="http://schemas.microsoft.com/office/drawing/2014/main" id="{00000000-0008-0000-0300-0000029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Bahnschrift Light"/>
                </a:rPr>
                <a:t>Generate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485775</xdr:colOff>
          <xdr:row>16</xdr:row>
          <xdr:rowOff>133350</xdr:rowOff>
        </xdr:from>
        <xdr:to>
          <xdr:col>8</xdr:col>
          <xdr:colOff>561975</xdr:colOff>
          <xdr:row>18</xdr:row>
          <xdr:rowOff>85725</xdr:rowOff>
        </xdr:to>
        <xdr:sp macro="" textlink="">
          <xdr:nvSpPr>
            <xdr:cNvPr id="169987" name="Button 3" hidden="1">
              <a:extLst>
                <a:ext uri="{63B3BB69-23CF-44E3-9099-C40C66FF867C}">
                  <a14:compatExt spid="_x0000_s169987"/>
                </a:ext>
                <a:ext uri="{FF2B5EF4-FFF2-40B4-BE49-F238E27FC236}">
                  <a16:creationId xmlns:a16="http://schemas.microsoft.com/office/drawing/2014/main" id="{00000000-0008-0000-0300-0000039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Bahnschrift Light"/>
                </a:rPr>
                <a:t>Clear Cache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428626</xdr:colOff>
      <xdr:row>15</xdr:row>
      <xdr:rowOff>152400</xdr:rowOff>
    </xdr:from>
    <xdr:ext cx="2247899" cy="815673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1BB7B693-2B87-4A52-A25B-715B5D92390D}"/>
            </a:ext>
          </a:extLst>
        </xdr:cNvPr>
        <xdr:cNvSpPr txBox="1"/>
      </xdr:nvSpPr>
      <xdr:spPr>
        <a:xfrm>
          <a:off x="990601" y="3552825"/>
          <a:ext cx="2247899" cy="8156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ID" sz="1400" b="1">
              <a:solidFill>
                <a:srgbClr val="FF0000"/>
              </a:solidFill>
              <a:latin typeface="Bahnschrift Light" panose="020B0502040204020203" pitchFamily="34" charset="0"/>
            </a:rPr>
            <a:t>WARNING</a:t>
          </a:r>
        </a:p>
        <a:p>
          <a:r>
            <a:rPr lang="en-ID">
              <a:latin typeface="Bahnschrift Light" panose="020B0502040204020203" pitchFamily="34" charset="0"/>
            </a:rPr>
            <a:t>This action will clear saved tokens (access) and Xero organization IDs. </a:t>
          </a:r>
          <a:endParaRPr lang="en-ID" sz="1100" baseline="0">
            <a:latin typeface="Bahnschrift Light" panose="020B0502040204020203" pitchFamily="34" charset="0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</xdr:row>
          <xdr:rowOff>19050</xdr:rowOff>
        </xdr:from>
        <xdr:to>
          <xdr:col>1</xdr:col>
          <xdr:colOff>1714500</xdr:colOff>
          <xdr:row>4</xdr:row>
          <xdr:rowOff>19050</xdr:rowOff>
        </xdr:to>
        <xdr:sp macro="" textlink="">
          <xdr:nvSpPr>
            <xdr:cNvPr id="172033" name="Button 1" hidden="1">
              <a:extLst>
                <a:ext uri="{63B3BB69-23CF-44E3-9099-C40C66FF867C}">
                  <a14:compatExt spid="_x0000_s172033"/>
                </a:ext>
                <a:ext uri="{FF2B5EF4-FFF2-40B4-BE49-F238E27FC236}">
                  <a16:creationId xmlns:a16="http://schemas.microsoft.com/office/drawing/2014/main" id="{00000000-0008-0000-0600-000001A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0292" rIns="64008" bIns="5029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Check if File Exists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5</xdr:row>
          <xdr:rowOff>57150</xdr:rowOff>
        </xdr:from>
        <xdr:to>
          <xdr:col>1</xdr:col>
          <xdr:colOff>1743075</xdr:colOff>
          <xdr:row>6</xdr:row>
          <xdr:rowOff>28575</xdr:rowOff>
        </xdr:to>
        <xdr:sp macro="" textlink="">
          <xdr:nvSpPr>
            <xdr:cNvPr id="172038" name="Button 6" hidden="1">
              <a:extLst>
                <a:ext uri="{63B3BB69-23CF-44E3-9099-C40C66FF867C}">
                  <a14:compatExt spid="_x0000_s172038"/>
                </a:ext>
                <a:ext uri="{FF2B5EF4-FFF2-40B4-BE49-F238E27FC236}">
                  <a16:creationId xmlns:a16="http://schemas.microsoft.com/office/drawing/2014/main" id="{00000000-0008-0000-0600-000006A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Match Accounts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400050</xdr:colOff>
          <xdr:row>3</xdr:row>
          <xdr:rowOff>38100</xdr:rowOff>
        </xdr:from>
        <xdr:to>
          <xdr:col>5</xdr:col>
          <xdr:colOff>1504950</xdr:colOff>
          <xdr:row>6</xdr:row>
          <xdr:rowOff>66675</xdr:rowOff>
        </xdr:to>
        <xdr:sp macro="" textlink="">
          <xdr:nvSpPr>
            <xdr:cNvPr id="172040" name="Button 8" hidden="1">
              <a:extLst>
                <a:ext uri="{63B3BB69-23CF-44E3-9099-C40C66FF867C}">
                  <a14:compatExt spid="_x0000_s172040"/>
                </a:ext>
                <a:ext uri="{FF2B5EF4-FFF2-40B4-BE49-F238E27FC236}">
                  <a16:creationId xmlns:a16="http://schemas.microsoft.com/office/drawing/2014/main" id="{00000000-0008-0000-0600-000008A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Hide/Unhide COL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228600</xdr:colOff>
          <xdr:row>0</xdr:row>
          <xdr:rowOff>57150</xdr:rowOff>
        </xdr:from>
        <xdr:to>
          <xdr:col>8</xdr:col>
          <xdr:colOff>1466850</xdr:colOff>
          <xdr:row>1</xdr:row>
          <xdr:rowOff>304800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 Blank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iawei%20Qi\Documents\Intern\4.%20Upload\Python\20241126\2024%20Annual%20Workpapers%20-%20testac.xlsm" TargetMode="External"/><Relationship Id="rId1" Type="http://schemas.openxmlformats.org/officeDocument/2006/relationships/externalLinkPath" Target="2024%20Annual%20Workpapers%20-%20testa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_XeroTenants"/>
      <sheetName val="Sheet_XeroTokens"/>
      <sheetName val="WKP's Process &amp; Instructions"/>
      <sheetName val="Pre-Review Checklist"/>
      <sheetName val="Workpaper Index"/>
      <sheetName val="Trial Balance - to review"/>
      <sheetName val="Xero Report Generator"/>
      <sheetName val="Trial Balance Dump"/>
      <sheetName val="Review WKP"/>
      <sheetName val="Linked Cell Reference &amp; Char Re"/>
      <sheetName val="Searchable DropDown"/>
      <sheetName val="Sheet1"/>
      <sheetName val="File Path"/>
      <sheetName val="CheckFileExists -Template"/>
      <sheetName val="A - Borrowing Costs WKP"/>
      <sheetName val="A - Cash on Hand WKP"/>
      <sheetName val="A - Formation Expenses WKP"/>
      <sheetName val="A - Generic Asset WKP"/>
      <sheetName val="A - Goodwill WKP"/>
      <sheetName val="A - InventoryStock on Hand WKP"/>
      <sheetName val="A - Trade Debtors WKP"/>
      <sheetName val="A - Livestock on Hand WKP"/>
      <sheetName val="A - Loan Receivable WKP"/>
      <sheetName val="A - Other Asset WKP"/>
      <sheetName val="A - Other Debtors WKP"/>
      <sheetName val="Plant &amp; Equipment WKP"/>
      <sheetName val="Depreciation Schedule"/>
      <sheetName val="A - Property Cost Base WKP"/>
      <sheetName val="A - Prepayments WKP"/>
      <sheetName val="A - Shares in Companies WKP"/>
      <sheetName val="A - Units in Unit Trust WKP"/>
      <sheetName val="A - Unpaid Beneficiary Entitl"/>
      <sheetName val="L - Bank Loans WKP"/>
      <sheetName val="L - Beneficiary Entitlement WKP"/>
      <sheetName val="L - Generic Liability WKP"/>
      <sheetName val="L - GST WKP"/>
      <sheetName val="L - Hire Purchase WKP"/>
      <sheetName val="L - Loan Payable WKP"/>
      <sheetName val="L - Other Creditor WKP"/>
      <sheetName val="L - Other Liability WKP"/>
      <sheetName val="L - Trade Creditor WKP"/>
      <sheetName val="L - Provision for Income Tax"/>
      <sheetName val="L - Franking Credit WKP"/>
      <sheetName val="Tax Depreciation Schedule"/>
      <sheetName val="Income Tax Reconciliation WKP"/>
      <sheetName val="Source Document Link"/>
      <sheetName val="Trust Income &amp; Streaming WKP"/>
      <sheetName val="E - Generic Equity WKP"/>
      <sheetName val="Trust Deed Review"/>
      <sheetName val="E - Unit &amp; Share Issued Capital"/>
      <sheetName val="P&amp;L WKP"/>
      <sheetName val="P&amp;L Comment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>
        <row r="5">
          <cell r="K5" t="str">
            <v>Revenue</v>
          </cell>
          <cell r="M5" t="str">
            <v>Revenue</v>
          </cell>
        </row>
        <row r="6">
          <cell r="K6" t="str">
            <v>Sales</v>
          </cell>
          <cell r="M6" t="str">
            <v>Sales</v>
          </cell>
        </row>
        <row r="7">
          <cell r="M7" t="str">
            <v>Direct Costs</v>
          </cell>
        </row>
        <row r="8">
          <cell r="M8" t="str">
            <v>Other Income</v>
          </cell>
        </row>
        <row r="9">
          <cell r="K9" t="str">
            <v>Direct Costs</v>
          </cell>
          <cell r="M9" t="str">
            <v>Depreciation</v>
          </cell>
        </row>
        <row r="10">
          <cell r="M10" t="str">
            <v>Expense</v>
          </cell>
        </row>
        <row r="11">
          <cell r="M11" t="str">
            <v>Overhead</v>
          </cell>
        </row>
        <row r="12">
          <cell r="K12" t="str">
            <v>Other Income</v>
          </cell>
          <cell r="M12" t="str">
            <v>Equity</v>
          </cell>
        </row>
        <row r="13">
          <cell r="M13" t="str">
            <v>Fixed Asset</v>
          </cell>
        </row>
        <row r="14">
          <cell r="M14" t="str">
            <v>Current Asset</v>
          </cell>
        </row>
        <row r="15">
          <cell r="K15" t="str">
            <v>Depreciation</v>
          </cell>
          <cell r="M15" t="str">
            <v>Bank</v>
          </cell>
        </row>
        <row r="16">
          <cell r="K16" t="str">
            <v>Expense</v>
          </cell>
          <cell r="M16" t="str">
            <v>Non-current Asset</v>
          </cell>
        </row>
        <row r="17">
          <cell r="K17" t="str">
            <v>Overhead</v>
          </cell>
          <cell r="M17" t="str">
            <v>Current Liability</v>
          </cell>
        </row>
        <row r="18">
          <cell r="M18" t="str">
            <v>Liability</v>
          </cell>
        </row>
        <row r="19">
          <cell r="M19" t="str">
            <v>Non-current Liability</v>
          </cell>
        </row>
        <row r="20">
          <cell r="K20" t="str">
            <v>Equity</v>
          </cell>
        </row>
        <row r="24">
          <cell r="K24" t="str">
            <v>Fixed Asset</v>
          </cell>
        </row>
        <row r="25">
          <cell r="K25" t="str">
            <v>Current Asset</v>
          </cell>
        </row>
        <row r="26">
          <cell r="K26" t="str">
            <v>Bank</v>
          </cell>
        </row>
        <row r="27">
          <cell r="K27" t="str">
            <v>Non-current Asset</v>
          </cell>
        </row>
        <row r="29">
          <cell r="K29" t="str">
            <v>Current Liability</v>
          </cell>
        </row>
        <row r="30">
          <cell r="K30" t="str">
            <v>Liability</v>
          </cell>
        </row>
        <row r="31">
          <cell r="K31" t="str">
            <v>Non-current Liability</v>
          </cell>
        </row>
      </sheetData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7FB560-422F-455D-A5F4-6CDE5015E4D9}" name="XeroTenants" displayName="XeroTenants" ref="A1:H50" totalsRowShown="0">
  <autoFilter ref="A1:H50" xr:uid="{147FB560-422F-455D-A5F4-6CDE5015E4D9}"/>
  <tableColumns count="8">
    <tableColumn id="1" xr3:uid="{3A55FF5D-E429-4D19-B072-F5015B47C28C}" name="Get_Datetime"/>
    <tableColumn id="2" xr3:uid="{A0899A3A-B9B0-43C9-8393-3D924B718A7A}" name="id"/>
    <tableColumn id="3" xr3:uid="{C4904377-C4F2-47A0-BA4A-A1D816CE6956}" name="authEventId"/>
    <tableColumn id="4" xr3:uid="{14BFAAE7-F112-4BCE-8709-4BABBD58BE48}" name="tenantId"/>
    <tableColumn id="5" xr3:uid="{AB5C356B-6A10-4453-9DE1-A4C07F390009}" name="tenantType"/>
    <tableColumn id="6" xr3:uid="{5FAB185D-939E-47ED-91E3-038E23EB32A2}" name="tenantName"/>
    <tableColumn id="7" xr3:uid="{F6A2428F-9403-476D-A688-6EB5A67B4733}" name="createdDateUtc"/>
    <tableColumn id="8" xr3:uid="{9A966126-5354-4736-BC90-4B59142B6F90}" name="updatedDateUtc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A5F5241-5125-463D-BEF9-515E32A20052}" name="XeroTokens" displayName="XeroTokens" ref="A1:E11" totalsRowShown="0">
  <autoFilter ref="A1:E11" xr:uid="{3A5F5241-5125-463D-BEF9-515E32A20052}"/>
  <tableColumns count="5">
    <tableColumn id="1" xr3:uid="{26AB6F3F-9731-461D-A8E1-2160948F074D}" name="Get_Datetime"/>
    <tableColumn id="2" xr3:uid="{3702F068-3FA8-4AFB-BD82-1FF5AC4AC79B}" name="Access_Token"/>
    <tableColumn id="3" xr3:uid="{19A702D0-6607-437A-A82B-B3C7726A2117}" name="AT_Expired_Datetime"/>
    <tableColumn id="4" xr3:uid="{751ABA88-9486-438E-B231-384BAC33FAD7}" name="Refresh_Token"/>
    <tableColumn id="5" xr3:uid="{2C78C4DA-0C32-407C-99AD-11FA93E961AE}" name="RT_Expired_Dateti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36E28-8CDE-4B6F-A813-4BC423894588}">
  <sheetPr codeName="Sheet52"/>
  <dimension ref="A1:H50"/>
  <sheetViews>
    <sheetView workbookViewId="0"/>
  </sheetViews>
  <sheetFormatPr defaultRowHeight="13.9" x14ac:dyDescent="0.4"/>
  <cols>
    <col min="1" max="1" width="15.73046875" customWidth="1"/>
    <col min="3" max="3" width="13.86328125" customWidth="1"/>
    <col min="4" max="4" width="10.73046875" customWidth="1"/>
    <col min="5" max="5" width="13.265625" customWidth="1"/>
    <col min="6" max="6" width="14.265625" customWidth="1"/>
    <col min="7" max="7" width="17" customWidth="1"/>
    <col min="8" max="8" width="17.73046875" customWidth="1"/>
  </cols>
  <sheetData>
    <row r="1" spans="1:8" x14ac:dyDescent="0.4">
      <c r="A1" t="s">
        <v>101</v>
      </c>
      <c r="B1" t="s">
        <v>108</v>
      </c>
      <c r="C1" t="s">
        <v>109</v>
      </c>
      <c r="D1" t="s">
        <v>110</v>
      </c>
      <c r="E1" t="s">
        <v>111</v>
      </c>
      <c r="F1" t="s">
        <v>112</v>
      </c>
      <c r="G1" t="s">
        <v>113</v>
      </c>
      <c r="H1" t="s">
        <v>114</v>
      </c>
    </row>
    <row r="2" spans="1:8" x14ac:dyDescent="0.4">
      <c r="A2" s="73">
        <v>45622.609548611108</v>
      </c>
      <c r="B2" t="s">
        <v>152</v>
      </c>
      <c r="C2" t="s">
        <v>153</v>
      </c>
      <c r="D2" t="s">
        <v>154</v>
      </c>
      <c r="E2" t="s">
        <v>118</v>
      </c>
      <c r="F2" t="s">
        <v>155</v>
      </c>
      <c r="G2" t="s">
        <v>156</v>
      </c>
      <c r="H2" t="s">
        <v>157</v>
      </c>
    </row>
    <row r="3" spans="1:8" x14ac:dyDescent="0.4">
      <c r="A3" s="73">
        <v>45622.609548611108</v>
      </c>
      <c r="B3" t="s">
        <v>146</v>
      </c>
      <c r="C3" t="s">
        <v>147</v>
      </c>
      <c r="D3" t="s">
        <v>148</v>
      </c>
      <c r="E3" t="s">
        <v>118</v>
      </c>
      <c r="F3" t="s">
        <v>149</v>
      </c>
      <c r="G3" t="s">
        <v>150</v>
      </c>
      <c r="H3" t="s">
        <v>151</v>
      </c>
    </row>
    <row r="4" spans="1:8" x14ac:dyDescent="0.4">
      <c r="A4" s="73">
        <v>45622.609548611108</v>
      </c>
      <c r="B4" t="s">
        <v>140</v>
      </c>
      <c r="C4" t="s">
        <v>141</v>
      </c>
      <c r="D4" t="s">
        <v>142</v>
      </c>
      <c r="E4" t="s">
        <v>118</v>
      </c>
      <c r="F4" t="s">
        <v>143</v>
      </c>
      <c r="G4" t="s">
        <v>144</v>
      </c>
      <c r="H4" t="s">
        <v>145</v>
      </c>
    </row>
    <row r="5" spans="1:8" x14ac:dyDescent="0.4">
      <c r="A5" s="73">
        <v>45622.609548611108</v>
      </c>
      <c r="B5" t="s">
        <v>134</v>
      </c>
      <c r="C5" t="s">
        <v>135</v>
      </c>
      <c r="D5" t="s">
        <v>136</v>
      </c>
      <c r="E5" t="s">
        <v>118</v>
      </c>
      <c r="F5" t="s">
        <v>137</v>
      </c>
      <c r="G5" t="s">
        <v>138</v>
      </c>
      <c r="H5" t="s">
        <v>139</v>
      </c>
    </row>
    <row r="6" spans="1:8" x14ac:dyDescent="0.4">
      <c r="A6" s="73">
        <v>45622.609548611108</v>
      </c>
      <c r="B6" t="s">
        <v>128</v>
      </c>
      <c r="C6" t="s">
        <v>129</v>
      </c>
      <c r="D6" t="s">
        <v>130</v>
      </c>
      <c r="E6" t="s">
        <v>118</v>
      </c>
      <c r="F6" t="s">
        <v>131</v>
      </c>
      <c r="G6" t="s">
        <v>132</v>
      </c>
      <c r="H6" t="s">
        <v>133</v>
      </c>
    </row>
    <row r="7" spans="1:8" x14ac:dyDescent="0.4">
      <c r="A7" s="73">
        <v>45622.609548611108</v>
      </c>
      <c r="B7" t="s">
        <v>122</v>
      </c>
      <c r="C7" t="s">
        <v>123</v>
      </c>
      <c r="D7" t="s">
        <v>124</v>
      </c>
      <c r="E7" t="s">
        <v>118</v>
      </c>
      <c r="F7" t="s">
        <v>125</v>
      </c>
      <c r="G7" t="s">
        <v>126</v>
      </c>
      <c r="H7" t="s">
        <v>127</v>
      </c>
    </row>
    <row r="8" spans="1:8" x14ac:dyDescent="0.4">
      <c r="A8" s="73">
        <v>45622.609548611108</v>
      </c>
      <c r="B8" t="s">
        <v>115</v>
      </c>
      <c r="C8" t="s">
        <v>116</v>
      </c>
      <c r="D8" t="s">
        <v>117</v>
      </c>
      <c r="E8" t="s">
        <v>118</v>
      </c>
      <c r="F8" t="s">
        <v>119</v>
      </c>
      <c r="G8" t="s">
        <v>120</v>
      </c>
      <c r="H8" t="s">
        <v>121</v>
      </c>
    </row>
    <row r="9" spans="1:8" x14ac:dyDescent="0.4">
      <c r="A9" s="73">
        <v>45622.57335648148</v>
      </c>
      <c r="B9" t="s">
        <v>152</v>
      </c>
      <c r="C9" t="s">
        <v>153</v>
      </c>
      <c r="D9" t="s">
        <v>154</v>
      </c>
      <c r="E9" t="s">
        <v>118</v>
      </c>
      <c r="F9" t="s">
        <v>155</v>
      </c>
      <c r="G9" t="s">
        <v>156</v>
      </c>
      <c r="H9" t="s">
        <v>157</v>
      </c>
    </row>
    <row r="10" spans="1:8" x14ac:dyDescent="0.4">
      <c r="A10" s="73">
        <v>45622.573344907411</v>
      </c>
      <c r="B10" t="s">
        <v>146</v>
      </c>
      <c r="C10" t="s">
        <v>147</v>
      </c>
      <c r="D10" t="s">
        <v>148</v>
      </c>
      <c r="E10" t="s">
        <v>118</v>
      </c>
      <c r="F10" t="s">
        <v>149</v>
      </c>
      <c r="G10" t="s">
        <v>150</v>
      </c>
      <c r="H10" t="s">
        <v>151</v>
      </c>
    </row>
    <row r="11" spans="1:8" x14ac:dyDescent="0.4">
      <c r="A11" s="73">
        <v>45622.573333333334</v>
      </c>
      <c r="B11" t="s">
        <v>140</v>
      </c>
      <c r="C11" t="s">
        <v>141</v>
      </c>
      <c r="D11" t="s">
        <v>142</v>
      </c>
      <c r="E11" t="s">
        <v>118</v>
      </c>
      <c r="F11" t="s">
        <v>143</v>
      </c>
      <c r="G11" t="s">
        <v>144</v>
      </c>
      <c r="H11" t="s">
        <v>145</v>
      </c>
    </row>
    <row r="12" spans="1:8" x14ac:dyDescent="0.4">
      <c r="A12" s="73">
        <v>45622.573333333334</v>
      </c>
      <c r="B12" t="s">
        <v>134</v>
      </c>
      <c r="C12" t="s">
        <v>135</v>
      </c>
      <c r="D12" t="s">
        <v>136</v>
      </c>
      <c r="E12" t="s">
        <v>118</v>
      </c>
      <c r="F12" t="s">
        <v>137</v>
      </c>
      <c r="G12" t="s">
        <v>138</v>
      </c>
      <c r="H12" t="s">
        <v>139</v>
      </c>
    </row>
    <row r="13" spans="1:8" x14ac:dyDescent="0.4">
      <c r="A13" s="73">
        <v>45622.573321759257</v>
      </c>
      <c r="B13" t="s">
        <v>128</v>
      </c>
      <c r="C13" t="s">
        <v>129</v>
      </c>
      <c r="D13" t="s">
        <v>130</v>
      </c>
      <c r="E13" t="s">
        <v>118</v>
      </c>
      <c r="F13" t="s">
        <v>131</v>
      </c>
      <c r="G13" t="s">
        <v>132</v>
      </c>
      <c r="H13" t="s">
        <v>133</v>
      </c>
    </row>
    <row r="14" spans="1:8" x14ac:dyDescent="0.4">
      <c r="A14" s="73">
        <v>45622.573310185187</v>
      </c>
      <c r="B14" t="s">
        <v>122</v>
      </c>
      <c r="C14" t="s">
        <v>123</v>
      </c>
      <c r="D14" t="s">
        <v>124</v>
      </c>
      <c r="E14" t="s">
        <v>118</v>
      </c>
      <c r="F14" t="s">
        <v>125</v>
      </c>
      <c r="G14" t="s">
        <v>126</v>
      </c>
      <c r="H14" t="s">
        <v>127</v>
      </c>
    </row>
    <row r="15" spans="1:8" x14ac:dyDescent="0.4">
      <c r="A15" s="73">
        <v>45622.573310185187</v>
      </c>
      <c r="B15" t="s">
        <v>115</v>
      </c>
      <c r="C15" t="s">
        <v>116</v>
      </c>
      <c r="D15" t="s">
        <v>117</v>
      </c>
      <c r="E15" t="s">
        <v>118</v>
      </c>
      <c r="F15" t="s">
        <v>119</v>
      </c>
      <c r="G15" t="s">
        <v>120</v>
      </c>
      <c r="H15" t="s">
        <v>121</v>
      </c>
    </row>
    <row r="16" spans="1:8" x14ac:dyDescent="0.4">
      <c r="A16" s="73">
        <v>45622.37667824074</v>
      </c>
      <c r="B16" t="s">
        <v>152</v>
      </c>
      <c r="C16" t="s">
        <v>153</v>
      </c>
      <c r="D16" t="s">
        <v>154</v>
      </c>
      <c r="E16" t="s">
        <v>118</v>
      </c>
      <c r="F16" t="s">
        <v>155</v>
      </c>
      <c r="G16" t="s">
        <v>156</v>
      </c>
      <c r="H16" t="s">
        <v>157</v>
      </c>
    </row>
    <row r="17" spans="1:8" x14ac:dyDescent="0.4">
      <c r="A17" s="73">
        <v>45622.37667824074</v>
      </c>
      <c r="B17" t="s">
        <v>146</v>
      </c>
      <c r="C17" t="s">
        <v>147</v>
      </c>
      <c r="D17" t="s">
        <v>148</v>
      </c>
      <c r="E17" t="s">
        <v>118</v>
      </c>
      <c r="F17" t="s">
        <v>149</v>
      </c>
      <c r="G17" t="s">
        <v>150</v>
      </c>
      <c r="H17" t="s">
        <v>151</v>
      </c>
    </row>
    <row r="18" spans="1:8" x14ac:dyDescent="0.4">
      <c r="A18" s="73">
        <v>45622.37667824074</v>
      </c>
      <c r="B18" t="s">
        <v>140</v>
      </c>
      <c r="C18" t="s">
        <v>141</v>
      </c>
      <c r="D18" t="s">
        <v>142</v>
      </c>
      <c r="E18" t="s">
        <v>118</v>
      </c>
      <c r="F18" t="s">
        <v>143</v>
      </c>
      <c r="G18" t="s">
        <v>144</v>
      </c>
      <c r="H18" t="s">
        <v>145</v>
      </c>
    </row>
    <row r="19" spans="1:8" x14ac:dyDescent="0.4">
      <c r="A19" s="73">
        <v>45622.37667824074</v>
      </c>
      <c r="B19" t="s">
        <v>134</v>
      </c>
      <c r="C19" t="s">
        <v>135</v>
      </c>
      <c r="D19" t="s">
        <v>136</v>
      </c>
      <c r="E19" t="s">
        <v>118</v>
      </c>
      <c r="F19" t="s">
        <v>137</v>
      </c>
      <c r="G19" t="s">
        <v>138</v>
      </c>
      <c r="H19" t="s">
        <v>139</v>
      </c>
    </row>
    <row r="20" spans="1:8" x14ac:dyDescent="0.4">
      <c r="A20" s="73">
        <v>45622.376666666663</v>
      </c>
      <c r="B20" t="s">
        <v>128</v>
      </c>
      <c r="C20" t="s">
        <v>129</v>
      </c>
      <c r="D20" t="s">
        <v>130</v>
      </c>
      <c r="E20" t="s">
        <v>118</v>
      </c>
      <c r="F20" t="s">
        <v>131</v>
      </c>
      <c r="G20" t="s">
        <v>132</v>
      </c>
      <c r="H20" t="s">
        <v>133</v>
      </c>
    </row>
    <row r="21" spans="1:8" x14ac:dyDescent="0.4">
      <c r="A21" s="73">
        <v>45622.376666666663</v>
      </c>
      <c r="B21" t="s">
        <v>122</v>
      </c>
      <c r="C21" t="s">
        <v>123</v>
      </c>
      <c r="D21" t="s">
        <v>124</v>
      </c>
      <c r="E21" t="s">
        <v>118</v>
      </c>
      <c r="F21" t="s">
        <v>125</v>
      </c>
      <c r="G21" t="s">
        <v>126</v>
      </c>
      <c r="H21" t="s">
        <v>127</v>
      </c>
    </row>
    <row r="22" spans="1:8" x14ac:dyDescent="0.4">
      <c r="A22" s="73">
        <v>45622.376666666663</v>
      </c>
      <c r="B22" t="s">
        <v>115</v>
      </c>
      <c r="C22" t="s">
        <v>116</v>
      </c>
      <c r="D22" t="s">
        <v>117</v>
      </c>
      <c r="E22" t="s">
        <v>118</v>
      </c>
      <c r="F22" t="s">
        <v>119</v>
      </c>
      <c r="G22" t="s">
        <v>120</v>
      </c>
      <c r="H22" t="s">
        <v>121</v>
      </c>
    </row>
    <row r="23" spans="1:8" x14ac:dyDescent="0.4">
      <c r="A23" s="73">
        <v>45617.623229166667</v>
      </c>
      <c r="B23" t="s">
        <v>152</v>
      </c>
      <c r="C23" t="s">
        <v>153</v>
      </c>
      <c r="D23" t="s">
        <v>154</v>
      </c>
      <c r="E23" t="s">
        <v>118</v>
      </c>
      <c r="F23" t="s">
        <v>155</v>
      </c>
      <c r="G23" t="s">
        <v>156</v>
      </c>
      <c r="H23" t="s">
        <v>157</v>
      </c>
    </row>
    <row r="24" spans="1:8" x14ac:dyDescent="0.4">
      <c r="A24" s="73">
        <v>45617.623217592591</v>
      </c>
      <c r="B24" t="s">
        <v>146</v>
      </c>
      <c r="C24" t="s">
        <v>147</v>
      </c>
      <c r="D24" t="s">
        <v>148</v>
      </c>
      <c r="E24" t="s">
        <v>118</v>
      </c>
      <c r="F24" t="s">
        <v>149</v>
      </c>
      <c r="G24" t="s">
        <v>150</v>
      </c>
      <c r="H24" t="s">
        <v>151</v>
      </c>
    </row>
    <row r="25" spans="1:8" x14ac:dyDescent="0.4">
      <c r="A25" s="73">
        <v>45617.623217592591</v>
      </c>
      <c r="B25" t="s">
        <v>140</v>
      </c>
      <c r="C25" t="s">
        <v>141</v>
      </c>
      <c r="D25" t="s">
        <v>142</v>
      </c>
      <c r="E25" t="s">
        <v>118</v>
      </c>
      <c r="F25" t="s">
        <v>143</v>
      </c>
      <c r="G25" t="s">
        <v>144</v>
      </c>
      <c r="H25" t="s">
        <v>145</v>
      </c>
    </row>
    <row r="26" spans="1:8" x14ac:dyDescent="0.4">
      <c r="A26" s="73">
        <v>45617.623217592591</v>
      </c>
      <c r="B26" t="s">
        <v>134</v>
      </c>
      <c r="C26" t="s">
        <v>135</v>
      </c>
      <c r="D26" t="s">
        <v>136</v>
      </c>
      <c r="E26" t="s">
        <v>118</v>
      </c>
      <c r="F26" t="s">
        <v>137</v>
      </c>
      <c r="G26" t="s">
        <v>138</v>
      </c>
      <c r="H26" t="s">
        <v>139</v>
      </c>
    </row>
    <row r="27" spans="1:8" x14ac:dyDescent="0.4">
      <c r="A27" s="73">
        <v>45617.623206018521</v>
      </c>
      <c r="B27" t="s">
        <v>128</v>
      </c>
      <c r="C27" t="s">
        <v>129</v>
      </c>
      <c r="D27" t="s">
        <v>130</v>
      </c>
      <c r="E27" t="s">
        <v>118</v>
      </c>
      <c r="F27" t="s">
        <v>131</v>
      </c>
      <c r="G27" t="s">
        <v>132</v>
      </c>
      <c r="H27" t="s">
        <v>133</v>
      </c>
    </row>
    <row r="28" spans="1:8" x14ac:dyDescent="0.4">
      <c r="A28" s="73">
        <v>45617.623206018521</v>
      </c>
      <c r="B28" t="s">
        <v>122</v>
      </c>
      <c r="C28" t="s">
        <v>123</v>
      </c>
      <c r="D28" t="s">
        <v>124</v>
      </c>
      <c r="E28" t="s">
        <v>118</v>
      </c>
      <c r="F28" t="s">
        <v>125</v>
      </c>
      <c r="G28" t="s">
        <v>126</v>
      </c>
      <c r="H28" t="s">
        <v>127</v>
      </c>
    </row>
    <row r="29" spans="1:8" x14ac:dyDescent="0.4">
      <c r="A29" s="73">
        <v>45617.623206018521</v>
      </c>
      <c r="B29" t="s">
        <v>115</v>
      </c>
      <c r="C29" t="s">
        <v>116</v>
      </c>
      <c r="D29" t="s">
        <v>117</v>
      </c>
      <c r="E29" t="s">
        <v>118</v>
      </c>
      <c r="F29" t="s">
        <v>119</v>
      </c>
      <c r="G29" t="s">
        <v>120</v>
      </c>
      <c r="H29" t="s">
        <v>121</v>
      </c>
    </row>
    <row r="30" spans="1:8" x14ac:dyDescent="0.4">
      <c r="A30" s="73">
        <v>45617.621944444443</v>
      </c>
      <c r="B30" t="s">
        <v>152</v>
      </c>
      <c r="C30" t="s">
        <v>153</v>
      </c>
      <c r="D30" t="s">
        <v>154</v>
      </c>
      <c r="E30" t="s">
        <v>118</v>
      </c>
      <c r="F30" t="s">
        <v>155</v>
      </c>
      <c r="G30" t="s">
        <v>156</v>
      </c>
      <c r="H30" t="s">
        <v>157</v>
      </c>
    </row>
    <row r="31" spans="1:8" x14ac:dyDescent="0.4">
      <c r="A31" s="73">
        <v>45617.621944444443</v>
      </c>
      <c r="B31" t="s">
        <v>146</v>
      </c>
      <c r="C31" t="s">
        <v>147</v>
      </c>
      <c r="D31" t="s">
        <v>148</v>
      </c>
      <c r="E31" t="s">
        <v>118</v>
      </c>
      <c r="F31" t="s">
        <v>149</v>
      </c>
      <c r="G31" t="s">
        <v>150</v>
      </c>
      <c r="H31" t="s">
        <v>151</v>
      </c>
    </row>
    <row r="32" spans="1:8" x14ac:dyDescent="0.4">
      <c r="A32" s="73">
        <v>45617.621932870374</v>
      </c>
      <c r="B32" t="s">
        <v>140</v>
      </c>
      <c r="C32" t="s">
        <v>141</v>
      </c>
      <c r="D32" t="s">
        <v>142</v>
      </c>
      <c r="E32" t="s">
        <v>118</v>
      </c>
      <c r="F32" t="s">
        <v>143</v>
      </c>
      <c r="G32" t="s">
        <v>144</v>
      </c>
      <c r="H32" t="s">
        <v>145</v>
      </c>
    </row>
    <row r="33" spans="1:8" x14ac:dyDescent="0.4">
      <c r="A33" s="73">
        <v>45617.621921296297</v>
      </c>
      <c r="B33" t="s">
        <v>134</v>
      </c>
      <c r="C33" t="s">
        <v>135</v>
      </c>
      <c r="D33" t="s">
        <v>136</v>
      </c>
      <c r="E33" t="s">
        <v>118</v>
      </c>
      <c r="F33" t="s">
        <v>137</v>
      </c>
      <c r="G33" t="s">
        <v>138</v>
      </c>
      <c r="H33" t="s">
        <v>139</v>
      </c>
    </row>
    <row r="34" spans="1:8" x14ac:dyDescent="0.4">
      <c r="A34" s="73">
        <v>45617.62190972222</v>
      </c>
      <c r="B34" t="s">
        <v>128</v>
      </c>
      <c r="C34" t="s">
        <v>129</v>
      </c>
      <c r="D34" t="s">
        <v>130</v>
      </c>
      <c r="E34" t="s">
        <v>118</v>
      </c>
      <c r="F34" t="s">
        <v>131</v>
      </c>
      <c r="G34" t="s">
        <v>132</v>
      </c>
      <c r="H34" t="s">
        <v>133</v>
      </c>
    </row>
    <row r="35" spans="1:8" x14ac:dyDescent="0.4">
      <c r="A35" s="73">
        <v>45617.62190972222</v>
      </c>
      <c r="B35" t="s">
        <v>122</v>
      </c>
      <c r="C35" t="s">
        <v>123</v>
      </c>
      <c r="D35" t="s">
        <v>124</v>
      </c>
      <c r="E35" t="s">
        <v>118</v>
      </c>
      <c r="F35" t="s">
        <v>125</v>
      </c>
      <c r="G35" t="s">
        <v>126</v>
      </c>
      <c r="H35" t="s">
        <v>127</v>
      </c>
    </row>
    <row r="36" spans="1:8" x14ac:dyDescent="0.4">
      <c r="A36" s="73">
        <v>45617.621898148151</v>
      </c>
      <c r="B36" t="s">
        <v>115</v>
      </c>
      <c r="C36" t="s">
        <v>116</v>
      </c>
      <c r="D36" t="s">
        <v>117</v>
      </c>
      <c r="E36" t="s">
        <v>118</v>
      </c>
      <c r="F36" t="s">
        <v>119</v>
      </c>
      <c r="G36" t="s">
        <v>120</v>
      </c>
      <c r="H36" t="s">
        <v>121</v>
      </c>
    </row>
    <row r="37" spans="1:8" x14ac:dyDescent="0.4">
      <c r="A37" s="73">
        <v>45617.618657407409</v>
      </c>
      <c r="B37" t="s">
        <v>152</v>
      </c>
      <c r="C37" t="s">
        <v>153</v>
      </c>
      <c r="D37" t="s">
        <v>154</v>
      </c>
      <c r="E37" t="s">
        <v>118</v>
      </c>
      <c r="F37" t="s">
        <v>155</v>
      </c>
      <c r="G37" t="s">
        <v>156</v>
      </c>
      <c r="H37" t="s">
        <v>157</v>
      </c>
    </row>
    <row r="38" spans="1:8" x14ac:dyDescent="0.4">
      <c r="A38" s="73">
        <v>45617.618657407409</v>
      </c>
      <c r="B38" t="s">
        <v>146</v>
      </c>
      <c r="C38" t="s">
        <v>147</v>
      </c>
      <c r="D38" t="s">
        <v>148</v>
      </c>
      <c r="E38" t="s">
        <v>118</v>
      </c>
      <c r="F38" t="s">
        <v>149</v>
      </c>
      <c r="G38" t="s">
        <v>150</v>
      </c>
      <c r="H38" t="s">
        <v>151</v>
      </c>
    </row>
    <row r="39" spans="1:8" x14ac:dyDescent="0.4">
      <c r="A39" s="73">
        <v>45617.618657407409</v>
      </c>
      <c r="B39" t="s">
        <v>140</v>
      </c>
      <c r="C39" t="s">
        <v>141</v>
      </c>
      <c r="D39" t="s">
        <v>142</v>
      </c>
      <c r="E39" t="s">
        <v>118</v>
      </c>
      <c r="F39" t="s">
        <v>143</v>
      </c>
      <c r="G39" t="s">
        <v>144</v>
      </c>
      <c r="H39" t="s">
        <v>145</v>
      </c>
    </row>
    <row r="40" spans="1:8" x14ac:dyDescent="0.4">
      <c r="A40" s="73">
        <v>45617.618645833332</v>
      </c>
      <c r="B40" t="s">
        <v>134</v>
      </c>
      <c r="C40" t="s">
        <v>135</v>
      </c>
      <c r="D40" t="s">
        <v>136</v>
      </c>
      <c r="E40" t="s">
        <v>118</v>
      </c>
      <c r="F40" t="s">
        <v>137</v>
      </c>
      <c r="G40" t="s">
        <v>138</v>
      </c>
      <c r="H40" t="s">
        <v>139</v>
      </c>
    </row>
    <row r="41" spans="1:8" x14ac:dyDescent="0.4">
      <c r="A41" s="73">
        <v>45617.618645833332</v>
      </c>
      <c r="B41" t="s">
        <v>128</v>
      </c>
      <c r="C41" t="s">
        <v>129</v>
      </c>
      <c r="D41" t="s">
        <v>130</v>
      </c>
      <c r="E41" t="s">
        <v>118</v>
      </c>
      <c r="F41" t="s">
        <v>131</v>
      </c>
      <c r="G41" t="s">
        <v>132</v>
      </c>
      <c r="H41" t="s">
        <v>133</v>
      </c>
    </row>
    <row r="42" spans="1:8" x14ac:dyDescent="0.4">
      <c r="A42" s="73">
        <v>45617.618645833332</v>
      </c>
      <c r="B42" t="s">
        <v>122</v>
      </c>
      <c r="C42" t="s">
        <v>123</v>
      </c>
      <c r="D42" t="s">
        <v>124</v>
      </c>
      <c r="E42" t="s">
        <v>118</v>
      </c>
      <c r="F42" t="s">
        <v>125</v>
      </c>
      <c r="G42" t="s">
        <v>126</v>
      </c>
      <c r="H42" t="s">
        <v>127</v>
      </c>
    </row>
    <row r="43" spans="1:8" x14ac:dyDescent="0.4">
      <c r="A43" s="73">
        <v>45617.618645833332</v>
      </c>
      <c r="B43" t="s">
        <v>115</v>
      </c>
      <c r="C43" t="s">
        <v>116</v>
      </c>
      <c r="D43" t="s">
        <v>117</v>
      </c>
      <c r="E43" t="s">
        <v>118</v>
      </c>
      <c r="F43" t="s">
        <v>119</v>
      </c>
      <c r="G43" t="s">
        <v>120</v>
      </c>
      <c r="H43" t="s">
        <v>121</v>
      </c>
    </row>
    <row r="44" spans="1:8" x14ac:dyDescent="0.4">
      <c r="A44" s="73">
        <v>45617.607916666668</v>
      </c>
      <c r="B44" t="s">
        <v>152</v>
      </c>
      <c r="C44" t="s">
        <v>153</v>
      </c>
      <c r="D44" t="s">
        <v>154</v>
      </c>
      <c r="E44" t="s">
        <v>118</v>
      </c>
      <c r="F44" t="s">
        <v>155</v>
      </c>
      <c r="G44" t="s">
        <v>156</v>
      </c>
      <c r="H44" t="s">
        <v>157</v>
      </c>
    </row>
    <row r="45" spans="1:8" x14ac:dyDescent="0.4">
      <c r="A45" s="73">
        <v>45617.607916666668</v>
      </c>
      <c r="B45" t="s">
        <v>146</v>
      </c>
      <c r="C45" t="s">
        <v>147</v>
      </c>
      <c r="D45" t="s">
        <v>148</v>
      </c>
      <c r="E45" t="s">
        <v>118</v>
      </c>
      <c r="F45" t="s">
        <v>149</v>
      </c>
      <c r="G45" t="s">
        <v>150</v>
      </c>
      <c r="H45" t="s">
        <v>151</v>
      </c>
    </row>
    <row r="46" spans="1:8" x14ac:dyDescent="0.4">
      <c r="A46" s="73">
        <v>45617.607905092591</v>
      </c>
      <c r="B46" t="s">
        <v>140</v>
      </c>
      <c r="C46" t="s">
        <v>141</v>
      </c>
      <c r="D46" t="s">
        <v>142</v>
      </c>
      <c r="E46" t="s">
        <v>118</v>
      </c>
      <c r="F46" t="s">
        <v>143</v>
      </c>
      <c r="G46" t="s">
        <v>144</v>
      </c>
      <c r="H46" t="s">
        <v>145</v>
      </c>
    </row>
    <row r="47" spans="1:8" x14ac:dyDescent="0.4">
      <c r="A47" s="73">
        <v>45617.607893518521</v>
      </c>
      <c r="B47" t="s">
        <v>134</v>
      </c>
      <c r="C47" t="s">
        <v>135</v>
      </c>
      <c r="D47" t="s">
        <v>136</v>
      </c>
      <c r="E47" t="s">
        <v>118</v>
      </c>
      <c r="F47" t="s">
        <v>137</v>
      </c>
      <c r="G47" t="s">
        <v>138</v>
      </c>
      <c r="H47" t="s">
        <v>139</v>
      </c>
    </row>
    <row r="48" spans="1:8" x14ac:dyDescent="0.4">
      <c r="A48" s="73">
        <v>45617.607893518521</v>
      </c>
      <c r="B48" t="s">
        <v>128</v>
      </c>
      <c r="C48" t="s">
        <v>129</v>
      </c>
      <c r="D48" t="s">
        <v>130</v>
      </c>
      <c r="E48" t="s">
        <v>118</v>
      </c>
      <c r="F48" t="s">
        <v>131</v>
      </c>
      <c r="G48" t="s">
        <v>132</v>
      </c>
      <c r="H48" t="s">
        <v>133</v>
      </c>
    </row>
    <row r="49" spans="1:8" x14ac:dyDescent="0.4">
      <c r="A49" s="73">
        <v>45617.607881944445</v>
      </c>
      <c r="B49" t="s">
        <v>122</v>
      </c>
      <c r="C49" t="s">
        <v>123</v>
      </c>
      <c r="D49" t="s">
        <v>124</v>
      </c>
      <c r="E49" t="s">
        <v>118</v>
      </c>
      <c r="F49" t="s">
        <v>125</v>
      </c>
      <c r="G49" t="s">
        <v>126</v>
      </c>
      <c r="H49" t="s">
        <v>127</v>
      </c>
    </row>
    <row r="50" spans="1:8" x14ac:dyDescent="0.4">
      <c r="A50" s="73">
        <v>45617.607870370368</v>
      </c>
      <c r="B50" t="s">
        <v>115</v>
      </c>
      <c r="C50" t="s">
        <v>116</v>
      </c>
      <c r="D50" t="s">
        <v>117</v>
      </c>
      <c r="E50" t="s">
        <v>118</v>
      </c>
      <c r="F50" t="s">
        <v>119</v>
      </c>
      <c r="G50" t="s">
        <v>120</v>
      </c>
      <c r="H50" t="s">
        <v>121</v>
      </c>
    </row>
  </sheetData>
  <phoneticPr fontId="2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E913-ADAF-4478-BDD7-C23F7378A78D}">
  <sheetPr codeName="Sheet53"/>
  <dimension ref="A1:E11"/>
  <sheetViews>
    <sheetView workbookViewId="0"/>
  </sheetViews>
  <sheetFormatPr defaultRowHeight="13.9" x14ac:dyDescent="0.4"/>
  <cols>
    <col min="1" max="1" width="15.73046875" customWidth="1"/>
    <col min="2" max="2" width="15.3984375" customWidth="1"/>
    <col min="3" max="3" width="22.3984375" customWidth="1"/>
    <col min="4" max="4" width="16.3984375" customWidth="1"/>
    <col min="5" max="5" width="22.265625" customWidth="1"/>
  </cols>
  <sheetData>
    <row r="1" spans="1:5" x14ac:dyDescent="0.4">
      <c r="A1" t="s">
        <v>101</v>
      </c>
      <c r="B1" t="s">
        <v>102</v>
      </c>
      <c r="C1" t="s">
        <v>103</v>
      </c>
      <c r="D1" t="s">
        <v>104</v>
      </c>
      <c r="E1" t="s">
        <v>105</v>
      </c>
    </row>
    <row r="2" spans="1:5" x14ac:dyDescent="0.4">
      <c r="A2" s="73">
        <v>45622.619652777779</v>
      </c>
      <c r="B2" t="s">
        <v>207</v>
      </c>
      <c r="C2" s="73">
        <v>45622.640486111108</v>
      </c>
      <c r="D2" t="s">
        <v>208</v>
      </c>
      <c r="E2" s="73">
        <v>45682.619652777779</v>
      </c>
    </row>
    <row r="3" spans="1:5" x14ac:dyDescent="0.4">
      <c r="A3" s="73">
        <v>45622.609537037039</v>
      </c>
      <c r="B3" t="s">
        <v>202</v>
      </c>
      <c r="C3" s="73">
        <v>45622.630370370367</v>
      </c>
      <c r="D3" t="s">
        <v>203</v>
      </c>
      <c r="E3" s="73">
        <v>45682.609537037039</v>
      </c>
    </row>
    <row r="4" spans="1:5" x14ac:dyDescent="0.4">
      <c r="A4" s="73">
        <v>45622.60633101852</v>
      </c>
      <c r="B4" t="s">
        <v>200</v>
      </c>
      <c r="C4" s="73">
        <v>45622.627164351848</v>
      </c>
      <c r="D4" t="s">
        <v>201</v>
      </c>
      <c r="E4" s="73">
        <v>45682.60633101852</v>
      </c>
    </row>
    <row r="5" spans="1:5" x14ac:dyDescent="0.4">
      <c r="A5" s="73">
        <v>45622.573263888888</v>
      </c>
      <c r="B5" t="s">
        <v>195</v>
      </c>
      <c r="C5" s="73">
        <v>45622.594085648147</v>
      </c>
      <c r="D5" t="s">
        <v>196</v>
      </c>
      <c r="E5" s="73">
        <v>45682.573252314818</v>
      </c>
    </row>
    <row r="6" spans="1:5" x14ac:dyDescent="0.4">
      <c r="A6" s="73">
        <v>45622.568252314813</v>
      </c>
      <c r="B6" t="s">
        <v>193</v>
      </c>
      <c r="C6" s="73">
        <v>45622.589085648149</v>
      </c>
      <c r="D6" t="s">
        <v>194</v>
      </c>
      <c r="E6" s="73">
        <v>45682.568252314813</v>
      </c>
    </row>
    <row r="7" spans="1:5" x14ac:dyDescent="0.4">
      <c r="A7" s="73">
        <v>45622.392824074072</v>
      </c>
      <c r="B7" t="s">
        <v>191</v>
      </c>
      <c r="C7" s="73">
        <v>45622.413645833331</v>
      </c>
      <c r="D7" t="s">
        <v>192</v>
      </c>
      <c r="E7" s="73">
        <v>45682.392812500002</v>
      </c>
    </row>
    <row r="8" spans="1:5" x14ac:dyDescent="0.4">
      <c r="A8" s="73">
        <v>45622.376631944448</v>
      </c>
      <c r="B8" t="s">
        <v>189</v>
      </c>
      <c r="C8" s="73">
        <v>45622.397465277776</v>
      </c>
      <c r="D8" t="s">
        <v>190</v>
      </c>
      <c r="E8" s="73">
        <v>45682.376631944448</v>
      </c>
    </row>
    <row r="9" spans="1:5" x14ac:dyDescent="0.4">
      <c r="A9" s="73">
        <v>45617.659398148149</v>
      </c>
      <c r="B9" t="s">
        <v>171</v>
      </c>
      <c r="C9" s="73">
        <v>45617.680231481485</v>
      </c>
      <c r="D9" t="s">
        <v>172</v>
      </c>
      <c r="E9" s="73">
        <v>45677.659398148149</v>
      </c>
    </row>
    <row r="10" spans="1:5" x14ac:dyDescent="0.4">
      <c r="A10" s="73">
        <v>45617.61859953704</v>
      </c>
      <c r="B10" t="s">
        <v>167</v>
      </c>
      <c r="C10" s="73">
        <v>45617.639432870368</v>
      </c>
      <c r="D10" t="s">
        <v>168</v>
      </c>
      <c r="E10" s="73">
        <v>45677.61859953704</v>
      </c>
    </row>
    <row r="11" spans="1:5" x14ac:dyDescent="0.4">
      <c r="A11" s="73">
        <v>45617.607858796298</v>
      </c>
      <c r="B11" t="s">
        <v>106</v>
      </c>
      <c r="C11" s="73">
        <v>45617.628680555557</v>
      </c>
      <c r="D11" t="s">
        <v>107</v>
      </c>
      <c r="E11" s="73">
        <v>45677.607847222222</v>
      </c>
    </row>
  </sheetData>
  <phoneticPr fontId="27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42C0-0735-42A2-B888-D2130E306CBD}">
  <sheetPr codeName="Sheet42"/>
  <dimension ref="A1:D1160"/>
  <sheetViews>
    <sheetView workbookViewId="0">
      <selection activeCell="A2" sqref="A2:A995"/>
    </sheetView>
  </sheetViews>
  <sheetFormatPr defaultRowHeight="13.9" x14ac:dyDescent="0.4"/>
  <cols>
    <col min="1" max="1" width="63.1328125" style="34" customWidth="1"/>
    <col min="2" max="2" width="9.06640625" style="34"/>
    <col min="3" max="3" width="10.59765625" style="34" customWidth="1"/>
    <col min="4" max="4" width="9.06640625" style="34"/>
  </cols>
  <sheetData>
    <row r="1" spans="1:4" x14ac:dyDescent="0.4">
      <c r="A1" s="4" t="s">
        <v>15</v>
      </c>
      <c r="B1" s="4" t="s">
        <v>204</v>
      </c>
      <c r="C1" s="4" t="s">
        <v>205</v>
      </c>
      <c r="D1" s="4" t="s">
        <v>206</v>
      </c>
    </row>
    <row r="2" spans="1:4" x14ac:dyDescent="0.4">
      <c r="A2" s="79" t="str">
        <f>'Trial Balance Dump'!B6</f>
        <v>Business Bank Account (090)</v>
      </c>
      <c r="B2" s="34" cm="1">
        <f t="array" aca="1" ref="B2" ca="1">IFERROR(SEARCH(INDIRECT(CELL("address")),A2),0)</f>
        <v>1</v>
      </c>
      <c r="C2" s="34">
        <f ca="1">IF(B2=0,"",COUNTIF($B$2:B2,"&gt;0"))</f>
        <v>1</v>
      </c>
      <c r="D2" s="34" t="str">
        <f ca="1">IFERROR(INDEX(A:A,MATCH(ROW(B1),C:C,0)),"")</f>
        <v>Business Bank Account (090)</v>
      </c>
    </row>
    <row r="3" spans="1:4" x14ac:dyDescent="0.4">
      <c r="A3" s="79" t="str">
        <f>'Trial Balance Dump'!B7</f>
        <v>Sales (200)</v>
      </c>
      <c r="B3" s="34" cm="1">
        <f t="array" aca="1" ref="B3" ca="1">IFERROR(SEARCH(INDIRECT(CELL("address")),A3),0)</f>
        <v>1</v>
      </c>
      <c r="C3" s="34">
        <f ca="1">IF(B3=0,"",COUNTIF($B$2:B3,"&gt;0"))</f>
        <v>2</v>
      </c>
      <c r="D3" s="34" t="str">
        <f t="shared" ref="D3:D66" ca="1" si="0">IFERROR(INDEX(A:A,MATCH(ROW(B2),C:C,0)),"")</f>
        <v>Sales (200)</v>
      </c>
    </row>
    <row r="4" spans="1:4" x14ac:dyDescent="0.4">
      <c r="A4" s="79" t="str">
        <f>'Trial Balance Dump'!B8</f>
        <v>Consulting &amp; Accounting (412)</v>
      </c>
      <c r="B4" s="34" cm="1">
        <f t="array" aca="1" ref="B4" ca="1">IFERROR(SEARCH(INDIRECT(CELL("address")),A4),0)</f>
        <v>1</v>
      </c>
      <c r="C4" s="34">
        <f ca="1">IF(B4=0,"",COUNTIF($B$2:B4,"&gt;0"))</f>
        <v>3</v>
      </c>
      <c r="D4" s="34" t="str">
        <f t="shared" ca="1" si="0"/>
        <v>Consulting &amp; Accounting (412)</v>
      </c>
    </row>
    <row r="5" spans="1:4" x14ac:dyDescent="0.4">
      <c r="A5" s="79" t="str">
        <f>'Trial Balance Dump'!B9</f>
        <v>Office Expenses (453)</v>
      </c>
      <c r="B5" s="34" cm="1">
        <f t="array" aca="1" ref="B5" ca="1">IFERROR(SEARCH(INDIRECT(CELL("address")),A5),0)</f>
        <v>1</v>
      </c>
      <c r="C5" s="34">
        <f ca="1">IF(B5=0,"",COUNTIF($B$2:B5,"&gt;0"))</f>
        <v>4</v>
      </c>
      <c r="D5" s="34" t="str">
        <f t="shared" ca="1" si="0"/>
        <v>Office Expenses (453)</v>
      </c>
    </row>
    <row r="6" spans="1:4" x14ac:dyDescent="0.4">
      <c r="A6" s="79" t="str">
        <f>'Trial Balance Dump'!B10</f>
        <v>Printing &amp; Stationery (461)</v>
      </c>
      <c r="B6" s="34" cm="1">
        <f t="array" aca="1" ref="B6" ca="1">IFERROR(SEARCH(INDIRECT(CELL("address")),A6),0)</f>
        <v>1</v>
      </c>
      <c r="C6" s="34">
        <f ca="1">IF(B6=0,"",COUNTIF($B$2:B6,"&gt;0"))</f>
        <v>5</v>
      </c>
      <c r="D6" s="34" t="str">
        <f t="shared" ca="1" si="0"/>
        <v>Printing &amp; Stationery (461)</v>
      </c>
    </row>
    <row r="7" spans="1:4" x14ac:dyDescent="0.4">
      <c r="A7" s="79" t="str">
        <f>'Trial Balance Dump'!B11</f>
        <v>Accounts Payable (800)</v>
      </c>
      <c r="B7" s="34" cm="1">
        <f t="array" aca="1" ref="B7" ca="1">IFERROR(SEARCH(INDIRECT(CELL("address")),A7),0)</f>
        <v>1</v>
      </c>
      <c r="C7" s="34">
        <f ca="1">IF(B7=0,"",COUNTIF($B$2:B7,"&gt;0"))</f>
        <v>6</v>
      </c>
      <c r="D7" s="34" t="str">
        <f t="shared" ca="1" si="0"/>
        <v>Accounts Payable (800)</v>
      </c>
    </row>
    <row r="8" spans="1:4" x14ac:dyDescent="0.4">
      <c r="A8" s="79" t="str">
        <f>'Trial Balance Dump'!B12</f>
        <v>GST (820)</v>
      </c>
      <c r="B8" s="34" cm="1">
        <f t="array" aca="1" ref="B8" ca="1">IFERROR(SEARCH(INDIRECT(CELL("address")),A8),0)</f>
        <v>1</v>
      </c>
      <c r="C8" s="34">
        <f ca="1">IF(B8=0,"",COUNTIF($B$2:B8,"&gt;0"))</f>
        <v>7</v>
      </c>
      <c r="D8" s="34" t="str">
        <f t="shared" ca="1" si="0"/>
        <v>GST (820)</v>
      </c>
    </row>
    <row r="9" spans="1:4" x14ac:dyDescent="0.4">
      <c r="A9" s="79" t="str">
        <f>'Trial Balance Dump'!B13</f>
        <v>Retained Earnings (960)</v>
      </c>
      <c r="B9" s="34" cm="1">
        <f t="array" aca="1" ref="B9" ca="1">IFERROR(SEARCH(INDIRECT(CELL("address")),A9),0)</f>
        <v>1</v>
      </c>
      <c r="C9" s="34">
        <f ca="1">IF(B9=0,"",COUNTIF($B$2:B9,"&gt;0"))</f>
        <v>8</v>
      </c>
      <c r="D9" s="34" t="str">
        <f t="shared" ca="1" si="0"/>
        <v>Retained Earnings (960)</v>
      </c>
    </row>
    <row r="10" spans="1:4" x14ac:dyDescent="0.4">
      <c r="A10" s="79">
        <f>'Trial Balance Dump'!B14</f>
        <v>0</v>
      </c>
      <c r="B10" s="34" cm="1">
        <f t="array" aca="1" ref="B10" ca="1">IFERROR(SEARCH(INDIRECT(CELL("address")),A10),0)</f>
        <v>1</v>
      </c>
      <c r="C10" s="34">
        <f ca="1">IF(B10=0,"",COUNTIF($B$2:B10,"&gt;0"))</f>
        <v>9</v>
      </c>
      <c r="D10" s="34">
        <f t="shared" ca="1" si="0"/>
        <v>0</v>
      </c>
    </row>
    <row r="11" spans="1:4" x14ac:dyDescent="0.4">
      <c r="A11" s="79">
        <f>'Trial Balance Dump'!B15</f>
        <v>0</v>
      </c>
      <c r="B11" s="34" cm="1">
        <f t="array" aca="1" ref="B11" ca="1">IFERROR(SEARCH(INDIRECT(CELL("address")),A11),0)</f>
        <v>1</v>
      </c>
      <c r="C11" s="34">
        <f ca="1">IF(B11=0,"",COUNTIF($B$2:B11,"&gt;0"))</f>
        <v>10</v>
      </c>
      <c r="D11" s="34">
        <f t="shared" ca="1" si="0"/>
        <v>0</v>
      </c>
    </row>
    <row r="12" spans="1:4" x14ac:dyDescent="0.4">
      <c r="A12" s="79">
        <f>'Trial Balance Dump'!B16</f>
        <v>0</v>
      </c>
      <c r="B12" s="34" cm="1">
        <f t="array" aca="1" ref="B12" ca="1">IFERROR(SEARCH(INDIRECT(CELL("address")),A12),0)</f>
        <v>1</v>
      </c>
      <c r="C12" s="34">
        <f ca="1">IF(B12=0,"",COUNTIF($B$2:B12,"&gt;0"))</f>
        <v>11</v>
      </c>
      <c r="D12" s="34">
        <f t="shared" ca="1" si="0"/>
        <v>0</v>
      </c>
    </row>
    <row r="13" spans="1:4" x14ac:dyDescent="0.4">
      <c r="A13" s="79">
        <f>'Trial Balance Dump'!B17</f>
        <v>0</v>
      </c>
      <c r="B13" s="34" cm="1">
        <f t="array" aca="1" ref="B13" ca="1">IFERROR(SEARCH(INDIRECT(CELL("address")),A13),0)</f>
        <v>1</v>
      </c>
      <c r="C13" s="34">
        <f ca="1">IF(B13=0,"",COUNTIF($B$2:B13,"&gt;0"))</f>
        <v>12</v>
      </c>
      <c r="D13" s="34">
        <f t="shared" ca="1" si="0"/>
        <v>0</v>
      </c>
    </row>
    <row r="14" spans="1:4" x14ac:dyDescent="0.4">
      <c r="A14" s="79">
        <f>'Trial Balance Dump'!B18</f>
        <v>0</v>
      </c>
      <c r="B14" s="34" cm="1">
        <f t="array" aca="1" ref="B14" ca="1">IFERROR(SEARCH(INDIRECT(CELL("address")),A14),0)</f>
        <v>1</v>
      </c>
      <c r="C14" s="34">
        <f ca="1">IF(B14=0,"",COUNTIF($B$2:B14,"&gt;0"))</f>
        <v>13</v>
      </c>
      <c r="D14" s="34">
        <f t="shared" ca="1" si="0"/>
        <v>0</v>
      </c>
    </row>
    <row r="15" spans="1:4" x14ac:dyDescent="0.4">
      <c r="A15" s="79">
        <f>'Trial Balance Dump'!B19</f>
        <v>0</v>
      </c>
      <c r="B15" s="34" cm="1">
        <f t="array" aca="1" ref="B15" ca="1">IFERROR(SEARCH(INDIRECT(CELL("address")),A15),0)</f>
        <v>1</v>
      </c>
      <c r="C15" s="34">
        <f ca="1">IF(B15=0,"",COUNTIF($B$2:B15,"&gt;0"))</f>
        <v>14</v>
      </c>
      <c r="D15" s="34">
        <f t="shared" ca="1" si="0"/>
        <v>0</v>
      </c>
    </row>
    <row r="16" spans="1:4" x14ac:dyDescent="0.4">
      <c r="A16" s="79">
        <f>'Trial Balance Dump'!B20</f>
        <v>0</v>
      </c>
      <c r="B16" s="34" cm="1">
        <f t="array" aca="1" ref="B16" ca="1">IFERROR(SEARCH(INDIRECT(CELL("address")),A16),0)</f>
        <v>1</v>
      </c>
      <c r="C16" s="34">
        <f ca="1">IF(B16=0,"",COUNTIF($B$2:B16,"&gt;0"))</f>
        <v>15</v>
      </c>
      <c r="D16" s="34">
        <f t="shared" ca="1" si="0"/>
        <v>0</v>
      </c>
    </row>
    <row r="17" spans="1:4" x14ac:dyDescent="0.4">
      <c r="A17" s="79">
        <f>'Trial Balance Dump'!B21</f>
        <v>0</v>
      </c>
      <c r="B17" s="34" cm="1">
        <f t="array" aca="1" ref="B17" ca="1">IFERROR(SEARCH(INDIRECT(CELL("address")),A17),0)</f>
        <v>1</v>
      </c>
      <c r="C17" s="34">
        <f ca="1">IF(B17=0,"",COUNTIF($B$2:B17,"&gt;0"))</f>
        <v>16</v>
      </c>
      <c r="D17" s="34">
        <f t="shared" ca="1" si="0"/>
        <v>0</v>
      </c>
    </row>
    <row r="18" spans="1:4" x14ac:dyDescent="0.4">
      <c r="A18" s="79">
        <f>'Trial Balance Dump'!B22</f>
        <v>0</v>
      </c>
      <c r="B18" s="34" cm="1">
        <f t="array" aca="1" ref="B18" ca="1">IFERROR(SEARCH(INDIRECT(CELL("address")),A18),0)</f>
        <v>1</v>
      </c>
      <c r="C18" s="34">
        <f ca="1">IF(B18=0,"",COUNTIF($B$2:B18,"&gt;0"))</f>
        <v>17</v>
      </c>
      <c r="D18" s="34">
        <f t="shared" ca="1" si="0"/>
        <v>0</v>
      </c>
    </row>
    <row r="19" spans="1:4" x14ac:dyDescent="0.4">
      <c r="A19" s="79">
        <f>'Trial Balance Dump'!B23</f>
        <v>0</v>
      </c>
      <c r="B19" s="34" cm="1">
        <f t="array" aca="1" ref="B19" ca="1">IFERROR(SEARCH(INDIRECT(CELL("address")),A19),0)</f>
        <v>1</v>
      </c>
      <c r="C19" s="34">
        <f ca="1">IF(B19=0,"",COUNTIF($B$2:B19,"&gt;0"))</f>
        <v>18</v>
      </c>
      <c r="D19" s="34">
        <f t="shared" ca="1" si="0"/>
        <v>0</v>
      </c>
    </row>
    <row r="20" spans="1:4" x14ac:dyDescent="0.4">
      <c r="A20" s="79">
        <f>'Trial Balance Dump'!B24</f>
        <v>0</v>
      </c>
      <c r="B20" s="34" cm="1">
        <f t="array" aca="1" ref="B20" ca="1">IFERROR(SEARCH(INDIRECT(CELL("address")),A20),0)</f>
        <v>1</v>
      </c>
      <c r="C20" s="34">
        <f ca="1">IF(B20=0,"",COUNTIF($B$2:B20,"&gt;0"))</f>
        <v>19</v>
      </c>
      <c r="D20" s="34">
        <f t="shared" ca="1" si="0"/>
        <v>0</v>
      </c>
    </row>
    <row r="21" spans="1:4" x14ac:dyDescent="0.4">
      <c r="A21" s="79">
        <f>'Trial Balance Dump'!B25</f>
        <v>0</v>
      </c>
      <c r="B21" s="34" cm="1">
        <f t="array" aca="1" ref="B21" ca="1">IFERROR(SEARCH(INDIRECT(CELL("address")),A21),0)</f>
        <v>1</v>
      </c>
      <c r="C21" s="34">
        <f ca="1">IF(B21=0,"",COUNTIF($B$2:B21,"&gt;0"))</f>
        <v>20</v>
      </c>
      <c r="D21" s="34">
        <f t="shared" ca="1" si="0"/>
        <v>0</v>
      </c>
    </row>
    <row r="22" spans="1:4" x14ac:dyDescent="0.4">
      <c r="A22" s="79">
        <f>'Trial Balance Dump'!B26</f>
        <v>0</v>
      </c>
      <c r="B22" s="34" cm="1">
        <f t="array" aca="1" ref="B22" ca="1">IFERROR(SEARCH(INDIRECT(CELL("address")),A22),0)</f>
        <v>1</v>
      </c>
      <c r="C22" s="34">
        <f ca="1">IF(B22=0,"",COUNTIF($B$2:B22,"&gt;0"))</f>
        <v>21</v>
      </c>
      <c r="D22" s="34">
        <f t="shared" ca="1" si="0"/>
        <v>0</v>
      </c>
    </row>
    <row r="23" spans="1:4" x14ac:dyDescent="0.4">
      <c r="A23" s="79">
        <f>'Trial Balance Dump'!B27</f>
        <v>0</v>
      </c>
      <c r="B23" s="34" cm="1">
        <f t="array" aca="1" ref="B23" ca="1">IFERROR(SEARCH(INDIRECT(CELL("address")),A23),0)</f>
        <v>1</v>
      </c>
      <c r="C23" s="34">
        <f ca="1">IF(B23=0,"",COUNTIF($B$2:B23,"&gt;0"))</f>
        <v>22</v>
      </c>
      <c r="D23" s="34">
        <f t="shared" ca="1" si="0"/>
        <v>0</v>
      </c>
    </row>
    <row r="24" spans="1:4" x14ac:dyDescent="0.4">
      <c r="A24" s="79">
        <f>'Trial Balance Dump'!B28</f>
        <v>0</v>
      </c>
      <c r="B24" s="34" cm="1">
        <f t="array" aca="1" ref="B24" ca="1">IFERROR(SEARCH(INDIRECT(CELL("address")),A24),0)</f>
        <v>1</v>
      </c>
      <c r="C24" s="34">
        <f ca="1">IF(B24=0,"",COUNTIF($B$2:B24,"&gt;0"))</f>
        <v>23</v>
      </c>
      <c r="D24" s="34">
        <f t="shared" ca="1" si="0"/>
        <v>0</v>
      </c>
    </row>
    <row r="25" spans="1:4" x14ac:dyDescent="0.4">
      <c r="A25" s="79">
        <f>'Trial Balance Dump'!B29</f>
        <v>0</v>
      </c>
      <c r="B25" s="34" cm="1">
        <f t="array" aca="1" ref="B25" ca="1">IFERROR(SEARCH(INDIRECT(CELL("address")),A25),0)</f>
        <v>1</v>
      </c>
      <c r="C25" s="34">
        <f ca="1">IF(B25=0,"",COUNTIF($B$2:B25,"&gt;0"))</f>
        <v>24</v>
      </c>
      <c r="D25" s="34">
        <f t="shared" ca="1" si="0"/>
        <v>0</v>
      </c>
    </row>
    <row r="26" spans="1:4" x14ac:dyDescent="0.4">
      <c r="A26" s="79">
        <f>'Trial Balance Dump'!B30</f>
        <v>0</v>
      </c>
      <c r="B26" s="34" cm="1">
        <f t="array" aca="1" ref="B26" ca="1">IFERROR(SEARCH(INDIRECT(CELL("address")),A26),0)</f>
        <v>1</v>
      </c>
      <c r="C26" s="34">
        <f ca="1">IF(B26=0,"",COUNTIF($B$2:B26,"&gt;0"))</f>
        <v>25</v>
      </c>
      <c r="D26" s="34">
        <f t="shared" ca="1" si="0"/>
        <v>0</v>
      </c>
    </row>
    <row r="27" spans="1:4" x14ac:dyDescent="0.4">
      <c r="A27" s="79">
        <f>'Trial Balance Dump'!B31</f>
        <v>0</v>
      </c>
      <c r="B27" s="34" cm="1">
        <f t="array" aca="1" ref="B27" ca="1">IFERROR(SEARCH(INDIRECT(CELL("address")),A27),0)</f>
        <v>1</v>
      </c>
      <c r="C27" s="34">
        <f ca="1">IF(B27=0,"",COUNTIF($B$2:B27,"&gt;0"))</f>
        <v>26</v>
      </c>
      <c r="D27" s="34">
        <f t="shared" ca="1" si="0"/>
        <v>0</v>
      </c>
    </row>
    <row r="28" spans="1:4" x14ac:dyDescent="0.4">
      <c r="A28" s="79">
        <f>'Trial Balance Dump'!B32</f>
        <v>0</v>
      </c>
      <c r="B28" s="34" cm="1">
        <f t="array" aca="1" ref="B28" ca="1">IFERROR(SEARCH(INDIRECT(CELL("address")),A28),0)</f>
        <v>1</v>
      </c>
      <c r="C28" s="34">
        <f ca="1">IF(B28=0,"",COUNTIF($B$2:B28,"&gt;0"))</f>
        <v>27</v>
      </c>
      <c r="D28" s="34">
        <f t="shared" ca="1" si="0"/>
        <v>0</v>
      </c>
    </row>
    <row r="29" spans="1:4" x14ac:dyDescent="0.4">
      <c r="A29" s="79">
        <f>'Trial Balance Dump'!B33</f>
        <v>0</v>
      </c>
      <c r="B29" s="34" cm="1">
        <f t="array" aca="1" ref="B29" ca="1">IFERROR(SEARCH(INDIRECT(CELL("address")),A29),0)</f>
        <v>1</v>
      </c>
      <c r="C29" s="34">
        <f ca="1">IF(B29=0,"",COUNTIF($B$2:B29,"&gt;0"))</f>
        <v>28</v>
      </c>
      <c r="D29" s="34">
        <f t="shared" ca="1" si="0"/>
        <v>0</v>
      </c>
    </row>
    <row r="30" spans="1:4" x14ac:dyDescent="0.4">
      <c r="A30" s="79">
        <f>'Trial Balance Dump'!B34</f>
        <v>0</v>
      </c>
      <c r="B30" s="34" cm="1">
        <f t="array" aca="1" ref="B30" ca="1">IFERROR(SEARCH(INDIRECT(CELL("address")),A30),0)</f>
        <v>1</v>
      </c>
      <c r="C30" s="34">
        <f ca="1">IF(B30=0,"",COUNTIF($B$2:B30,"&gt;0"))</f>
        <v>29</v>
      </c>
      <c r="D30" s="34">
        <f t="shared" ca="1" si="0"/>
        <v>0</v>
      </c>
    </row>
    <row r="31" spans="1:4" x14ac:dyDescent="0.4">
      <c r="A31" s="79">
        <f>'Trial Balance Dump'!B35</f>
        <v>0</v>
      </c>
      <c r="B31" s="34" cm="1">
        <f t="array" aca="1" ref="B31" ca="1">IFERROR(SEARCH(INDIRECT(CELL("address")),A31),0)</f>
        <v>1</v>
      </c>
      <c r="C31" s="34">
        <f ca="1">IF(B31=0,"",COUNTIF($B$2:B31,"&gt;0"))</f>
        <v>30</v>
      </c>
      <c r="D31" s="34">
        <f t="shared" ca="1" si="0"/>
        <v>0</v>
      </c>
    </row>
    <row r="32" spans="1:4" x14ac:dyDescent="0.4">
      <c r="A32" s="79">
        <f>'Trial Balance Dump'!B36</f>
        <v>0</v>
      </c>
      <c r="B32" s="34" cm="1">
        <f t="array" aca="1" ref="B32" ca="1">IFERROR(SEARCH(INDIRECT(CELL("address")),A32),0)</f>
        <v>1</v>
      </c>
      <c r="C32" s="34">
        <f ca="1">IF(B32=0,"",COUNTIF($B$2:B32,"&gt;0"))</f>
        <v>31</v>
      </c>
      <c r="D32" s="34">
        <f t="shared" ca="1" si="0"/>
        <v>0</v>
      </c>
    </row>
    <row r="33" spans="1:4" x14ac:dyDescent="0.4">
      <c r="A33" s="79">
        <f>'Trial Balance Dump'!B37</f>
        <v>0</v>
      </c>
      <c r="B33" s="34" cm="1">
        <f t="array" aca="1" ref="B33" ca="1">IFERROR(SEARCH(INDIRECT(CELL("address")),A33),0)</f>
        <v>1</v>
      </c>
      <c r="C33" s="34">
        <f ca="1">IF(B33=0,"",COUNTIF($B$2:B33,"&gt;0"))</f>
        <v>32</v>
      </c>
      <c r="D33" s="34">
        <f t="shared" ca="1" si="0"/>
        <v>0</v>
      </c>
    </row>
    <row r="34" spans="1:4" x14ac:dyDescent="0.4">
      <c r="A34" s="79">
        <f>'Trial Balance Dump'!B38</f>
        <v>0</v>
      </c>
      <c r="B34" s="34" cm="1">
        <f t="array" aca="1" ref="B34" ca="1">IFERROR(SEARCH(INDIRECT(CELL("address")),A34),0)</f>
        <v>1</v>
      </c>
      <c r="C34" s="34">
        <f ca="1">IF(B34=0,"",COUNTIF($B$2:B34,"&gt;0"))</f>
        <v>33</v>
      </c>
      <c r="D34" s="34">
        <f t="shared" ca="1" si="0"/>
        <v>0</v>
      </c>
    </row>
    <row r="35" spans="1:4" x14ac:dyDescent="0.4">
      <c r="A35" s="79">
        <f>'Trial Balance Dump'!B39</f>
        <v>0</v>
      </c>
      <c r="B35" s="34" cm="1">
        <f t="array" aca="1" ref="B35" ca="1">IFERROR(SEARCH(INDIRECT(CELL("address")),A35),0)</f>
        <v>1</v>
      </c>
      <c r="C35" s="34">
        <f ca="1">IF(B35=0,"",COUNTIF($B$2:B35,"&gt;0"))</f>
        <v>34</v>
      </c>
      <c r="D35" s="34">
        <f t="shared" ca="1" si="0"/>
        <v>0</v>
      </c>
    </row>
    <row r="36" spans="1:4" x14ac:dyDescent="0.4">
      <c r="A36" s="79">
        <f>'Trial Balance Dump'!B40</f>
        <v>0</v>
      </c>
      <c r="B36" s="34" cm="1">
        <f t="array" aca="1" ref="B36" ca="1">IFERROR(SEARCH(INDIRECT(CELL("address")),A36),0)</f>
        <v>1</v>
      </c>
      <c r="C36" s="34">
        <f ca="1">IF(B36=0,"",COUNTIF($B$2:B36,"&gt;0"))</f>
        <v>35</v>
      </c>
      <c r="D36" s="34">
        <f t="shared" ca="1" si="0"/>
        <v>0</v>
      </c>
    </row>
    <row r="37" spans="1:4" x14ac:dyDescent="0.4">
      <c r="A37" s="79">
        <f>'Trial Balance Dump'!B41</f>
        <v>0</v>
      </c>
      <c r="B37" s="34" cm="1">
        <f t="array" aca="1" ref="B37" ca="1">IFERROR(SEARCH(INDIRECT(CELL("address")),A37),0)</f>
        <v>1</v>
      </c>
      <c r="C37" s="34">
        <f ca="1">IF(B37=0,"",COUNTIF($B$2:B37,"&gt;0"))</f>
        <v>36</v>
      </c>
      <c r="D37" s="34">
        <f t="shared" ca="1" si="0"/>
        <v>0</v>
      </c>
    </row>
    <row r="38" spans="1:4" x14ac:dyDescent="0.4">
      <c r="A38" s="79">
        <f>'Trial Balance Dump'!B42</f>
        <v>0</v>
      </c>
      <c r="B38" s="34" cm="1">
        <f t="array" aca="1" ref="B38" ca="1">IFERROR(SEARCH(INDIRECT(CELL("address")),A38),0)</f>
        <v>1</v>
      </c>
      <c r="C38" s="34">
        <f ca="1">IF(B38=0,"",COUNTIF($B$2:B38,"&gt;0"))</f>
        <v>37</v>
      </c>
      <c r="D38" s="34">
        <f t="shared" ca="1" si="0"/>
        <v>0</v>
      </c>
    </row>
    <row r="39" spans="1:4" x14ac:dyDescent="0.4">
      <c r="A39" s="79">
        <f>'Trial Balance Dump'!B43</f>
        <v>0</v>
      </c>
      <c r="B39" s="34" cm="1">
        <f t="array" aca="1" ref="B39" ca="1">IFERROR(SEARCH(INDIRECT(CELL("address")),A39),0)</f>
        <v>1</v>
      </c>
      <c r="C39" s="34">
        <f ca="1">IF(B39=0,"",COUNTIF($B$2:B39,"&gt;0"))</f>
        <v>38</v>
      </c>
      <c r="D39" s="34">
        <f t="shared" ca="1" si="0"/>
        <v>0</v>
      </c>
    </row>
    <row r="40" spans="1:4" x14ac:dyDescent="0.4">
      <c r="A40" s="79">
        <f>'Trial Balance Dump'!B44</f>
        <v>0</v>
      </c>
      <c r="B40" s="34" cm="1">
        <f t="array" aca="1" ref="B40" ca="1">IFERROR(SEARCH(INDIRECT(CELL("address")),A40),0)</f>
        <v>1</v>
      </c>
      <c r="C40" s="34">
        <f ca="1">IF(B40=0,"",COUNTIF($B$2:B40,"&gt;0"))</f>
        <v>39</v>
      </c>
      <c r="D40" s="34">
        <f t="shared" ca="1" si="0"/>
        <v>0</v>
      </c>
    </row>
    <row r="41" spans="1:4" x14ac:dyDescent="0.4">
      <c r="A41" s="79">
        <f>'Trial Balance Dump'!B45</f>
        <v>0</v>
      </c>
      <c r="B41" s="34" cm="1">
        <f t="array" aca="1" ref="B41" ca="1">IFERROR(SEARCH(INDIRECT(CELL("address")),A41),0)</f>
        <v>1</v>
      </c>
      <c r="C41" s="34">
        <f ca="1">IF(B41=0,"",COUNTIF($B$2:B41,"&gt;0"))</f>
        <v>40</v>
      </c>
      <c r="D41" s="34">
        <f t="shared" ca="1" si="0"/>
        <v>0</v>
      </c>
    </row>
    <row r="42" spans="1:4" x14ac:dyDescent="0.4">
      <c r="A42" s="79">
        <f>'Trial Balance Dump'!B46</f>
        <v>0</v>
      </c>
      <c r="B42" s="34" cm="1">
        <f t="array" aca="1" ref="B42" ca="1">IFERROR(SEARCH(INDIRECT(CELL("address")),A42),0)</f>
        <v>1</v>
      </c>
      <c r="C42" s="34">
        <f ca="1">IF(B42=0,"",COUNTIF($B$2:B42,"&gt;0"))</f>
        <v>41</v>
      </c>
      <c r="D42" s="34">
        <f t="shared" ca="1" si="0"/>
        <v>0</v>
      </c>
    </row>
    <row r="43" spans="1:4" x14ac:dyDescent="0.4">
      <c r="A43" s="79">
        <f>'Trial Balance Dump'!B47</f>
        <v>0</v>
      </c>
      <c r="B43" s="34" cm="1">
        <f t="array" aca="1" ref="B43" ca="1">IFERROR(SEARCH(INDIRECT(CELL("address")),A43),0)</f>
        <v>1</v>
      </c>
      <c r="C43" s="34">
        <f ca="1">IF(B43=0,"",COUNTIF($B$2:B43,"&gt;0"))</f>
        <v>42</v>
      </c>
      <c r="D43" s="34">
        <f t="shared" ca="1" si="0"/>
        <v>0</v>
      </c>
    </row>
    <row r="44" spans="1:4" x14ac:dyDescent="0.4">
      <c r="A44" s="79">
        <f>'Trial Balance Dump'!B48</f>
        <v>0</v>
      </c>
      <c r="B44" s="34" cm="1">
        <f t="array" aca="1" ref="B44" ca="1">IFERROR(SEARCH(INDIRECT(CELL("address")),A44),0)</f>
        <v>1</v>
      </c>
      <c r="C44" s="34">
        <f ca="1">IF(B44=0,"",COUNTIF($B$2:B44,"&gt;0"))</f>
        <v>43</v>
      </c>
      <c r="D44" s="34">
        <f t="shared" ca="1" si="0"/>
        <v>0</v>
      </c>
    </row>
    <row r="45" spans="1:4" x14ac:dyDescent="0.4">
      <c r="A45" s="79">
        <f>'Trial Balance Dump'!B49</f>
        <v>0</v>
      </c>
      <c r="B45" s="34" cm="1">
        <f t="array" aca="1" ref="B45" ca="1">IFERROR(SEARCH(INDIRECT(CELL("address")),A45),0)</f>
        <v>1</v>
      </c>
      <c r="C45" s="34">
        <f ca="1">IF(B45=0,"",COUNTIF($B$2:B45,"&gt;0"))</f>
        <v>44</v>
      </c>
      <c r="D45" s="34">
        <f t="shared" ca="1" si="0"/>
        <v>0</v>
      </c>
    </row>
    <row r="46" spans="1:4" x14ac:dyDescent="0.4">
      <c r="A46" s="79">
        <f>'Trial Balance Dump'!B50</f>
        <v>0</v>
      </c>
      <c r="B46" s="34" cm="1">
        <f t="array" aca="1" ref="B46" ca="1">IFERROR(SEARCH(INDIRECT(CELL("address")),A46),0)</f>
        <v>1</v>
      </c>
      <c r="C46" s="34">
        <f ca="1">IF(B46=0,"",COUNTIF($B$2:B46,"&gt;0"))</f>
        <v>45</v>
      </c>
      <c r="D46" s="34">
        <f t="shared" ca="1" si="0"/>
        <v>0</v>
      </c>
    </row>
    <row r="47" spans="1:4" x14ac:dyDescent="0.4">
      <c r="A47" s="79">
        <f>'Trial Balance Dump'!B51</f>
        <v>0</v>
      </c>
      <c r="B47" s="34" cm="1">
        <f t="array" aca="1" ref="B47" ca="1">IFERROR(SEARCH(INDIRECT(CELL("address")),A47),0)</f>
        <v>1</v>
      </c>
      <c r="C47" s="34">
        <f ca="1">IF(B47=0,"",COUNTIF($B$2:B47,"&gt;0"))</f>
        <v>46</v>
      </c>
      <c r="D47" s="34">
        <f t="shared" ca="1" si="0"/>
        <v>0</v>
      </c>
    </row>
    <row r="48" spans="1:4" x14ac:dyDescent="0.4">
      <c r="A48" s="79">
        <f>'Trial Balance Dump'!B52</f>
        <v>0</v>
      </c>
      <c r="B48" s="34" cm="1">
        <f t="array" aca="1" ref="B48" ca="1">IFERROR(SEARCH(INDIRECT(CELL("address")),A48),0)</f>
        <v>1</v>
      </c>
      <c r="C48" s="34">
        <f ca="1">IF(B48=0,"",COUNTIF($B$2:B48,"&gt;0"))</f>
        <v>47</v>
      </c>
      <c r="D48" s="34">
        <f t="shared" ca="1" si="0"/>
        <v>0</v>
      </c>
    </row>
    <row r="49" spans="1:4" x14ac:dyDescent="0.4">
      <c r="A49" s="79">
        <f>'Trial Balance Dump'!B53</f>
        <v>0</v>
      </c>
      <c r="B49" s="34" cm="1">
        <f t="array" aca="1" ref="B49" ca="1">IFERROR(SEARCH(INDIRECT(CELL("address")),A49),0)</f>
        <v>1</v>
      </c>
      <c r="C49" s="34">
        <f ca="1">IF(B49=0,"",COUNTIF($B$2:B49,"&gt;0"))</f>
        <v>48</v>
      </c>
      <c r="D49" s="34">
        <f t="shared" ca="1" si="0"/>
        <v>0</v>
      </c>
    </row>
    <row r="50" spans="1:4" x14ac:dyDescent="0.4">
      <c r="A50" s="79">
        <f>'Trial Balance Dump'!B54</f>
        <v>0</v>
      </c>
      <c r="B50" s="34" cm="1">
        <f t="array" aca="1" ref="B50" ca="1">IFERROR(SEARCH(INDIRECT(CELL("address")),A50),0)</f>
        <v>1</v>
      </c>
      <c r="C50" s="34">
        <f ca="1">IF(B50=0,"",COUNTIF($B$2:B50,"&gt;0"))</f>
        <v>49</v>
      </c>
      <c r="D50" s="34">
        <f t="shared" ca="1" si="0"/>
        <v>0</v>
      </c>
    </row>
    <row r="51" spans="1:4" x14ac:dyDescent="0.4">
      <c r="A51" s="79">
        <f>'Trial Balance Dump'!B55</f>
        <v>0</v>
      </c>
      <c r="B51" s="34" cm="1">
        <f t="array" aca="1" ref="B51" ca="1">IFERROR(SEARCH(INDIRECT(CELL("address")),A51),0)</f>
        <v>1</v>
      </c>
      <c r="C51" s="34">
        <f ca="1">IF(B51=0,"",COUNTIF($B$2:B51,"&gt;0"))</f>
        <v>50</v>
      </c>
      <c r="D51" s="34">
        <f t="shared" ca="1" si="0"/>
        <v>0</v>
      </c>
    </row>
    <row r="52" spans="1:4" x14ac:dyDescent="0.4">
      <c r="A52" s="79">
        <f>'Trial Balance Dump'!B56</f>
        <v>0</v>
      </c>
      <c r="B52" s="34" cm="1">
        <f t="array" aca="1" ref="B52" ca="1">IFERROR(SEARCH(INDIRECT(CELL("address")),A52),0)</f>
        <v>1</v>
      </c>
      <c r="C52" s="34">
        <f ca="1">IF(B52=0,"",COUNTIF($B$2:B52,"&gt;0"))</f>
        <v>51</v>
      </c>
      <c r="D52" s="34">
        <f t="shared" ca="1" si="0"/>
        <v>0</v>
      </c>
    </row>
    <row r="53" spans="1:4" x14ac:dyDescent="0.4">
      <c r="A53" s="79">
        <f>'Trial Balance Dump'!B57</f>
        <v>0</v>
      </c>
      <c r="B53" s="34" cm="1">
        <f t="array" aca="1" ref="B53" ca="1">IFERROR(SEARCH(INDIRECT(CELL("address")),A53),0)</f>
        <v>1</v>
      </c>
      <c r="C53" s="34">
        <f ca="1">IF(B53=0,"",COUNTIF($B$2:B53,"&gt;0"))</f>
        <v>52</v>
      </c>
      <c r="D53" s="34">
        <f t="shared" ca="1" si="0"/>
        <v>0</v>
      </c>
    </row>
    <row r="54" spans="1:4" x14ac:dyDescent="0.4">
      <c r="A54" s="79">
        <f>'Trial Balance Dump'!B58</f>
        <v>0</v>
      </c>
      <c r="B54" s="34" cm="1">
        <f t="array" aca="1" ref="B54" ca="1">IFERROR(SEARCH(INDIRECT(CELL("address")),A54),0)</f>
        <v>1</v>
      </c>
      <c r="C54" s="34">
        <f ca="1">IF(B54=0,"",COUNTIF($B$2:B54,"&gt;0"))</f>
        <v>53</v>
      </c>
      <c r="D54" s="34">
        <f t="shared" ca="1" si="0"/>
        <v>0</v>
      </c>
    </row>
    <row r="55" spans="1:4" x14ac:dyDescent="0.4">
      <c r="A55" s="79">
        <f>'Trial Balance Dump'!B59</f>
        <v>0</v>
      </c>
      <c r="B55" s="34" cm="1">
        <f t="array" aca="1" ref="B55" ca="1">IFERROR(SEARCH(INDIRECT(CELL("address")),A55),0)</f>
        <v>1</v>
      </c>
      <c r="C55" s="34">
        <f ca="1">IF(B55=0,"",COUNTIF($B$2:B55,"&gt;0"))</f>
        <v>54</v>
      </c>
      <c r="D55" s="34">
        <f t="shared" ca="1" si="0"/>
        <v>0</v>
      </c>
    </row>
    <row r="56" spans="1:4" x14ac:dyDescent="0.4">
      <c r="A56" s="79">
        <f>'Trial Balance Dump'!B60</f>
        <v>0</v>
      </c>
      <c r="B56" s="34" cm="1">
        <f t="array" aca="1" ref="B56" ca="1">IFERROR(SEARCH(INDIRECT(CELL("address")),A56),0)</f>
        <v>1</v>
      </c>
      <c r="C56" s="34">
        <f ca="1">IF(B56=0,"",COUNTIF($B$2:B56,"&gt;0"))</f>
        <v>55</v>
      </c>
      <c r="D56" s="34">
        <f t="shared" ca="1" si="0"/>
        <v>0</v>
      </c>
    </row>
    <row r="57" spans="1:4" x14ac:dyDescent="0.4">
      <c r="A57" s="79">
        <f>'Trial Balance Dump'!B61</f>
        <v>0</v>
      </c>
      <c r="B57" s="34" cm="1">
        <f t="array" aca="1" ref="B57" ca="1">IFERROR(SEARCH(INDIRECT(CELL("address")),A57),0)</f>
        <v>1</v>
      </c>
      <c r="C57" s="34">
        <f ca="1">IF(B57=0,"",COUNTIF($B$2:B57,"&gt;0"))</f>
        <v>56</v>
      </c>
      <c r="D57" s="34">
        <f t="shared" ca="1" si="0"/>
        <v>0</v>
      </c>
    </row>
    <row r="58" spans="1:4" x14ac:dyDescent="0.4">
      <c r="A58" s="79">
        <f>'Trial Balance Dump'!B62</f>
        <v>0</v>
      </c>
      <c r="B58" s="34" cm="1">
        <f t="array" aca="1" ref="B58" ca="1">IFERROR(SEARCH(INDIRECT(CELL("address")),A58),0)</f>
        <v>1</v>
      </c>
      <c r="C58" s="34">
        <f ca="1">IF(B58=0,"",COUNTIF($B$2:B58,"&gt;0"))</f>
        <v>57</v>
      </c>
      <c r="D58" s="34">
        <f t="shared" ca="1" si="0"/>
        <v>0</v>
      </c>
    </row>
    <row r="59" spans="1:4" x14ac:dyDescent="0.4">
      <c r="A59" s="79">
        <f>'Trial Balance Dump'!B63</f>
        <v>0</v>
      </c>
      <c r="B59" s="34" cm="1">
        <f t="array" aca="1" ref="B59" ca="1">IFERROR(SEARCH(INDIRECT(CELL("address")),A59),0)</f>
        <v>1</v>
      </c>
      <c r="C59" s="34">
        <f ca="1">IF(B59=0,"",COUNTIF($B$2:B59,"&gt;0"))</f>
        <v>58</v>
      </c>
      <c r="D59" s="34">
        <f t="shared" ca="1" si="0"/>
        <v>0</v>
      </c>
    </row>
    <row r="60" spans="1:4" x14ac:dyDescent="0.4">
      <c r="A60" s="79">
        <f>'Trial Balance Dump'!B64</f>
        <v>0</v>
      </c>
      <c r="B60" s="34" cm="1">
        <f t="array" aca="1" ref="B60" ca="1">IFERROR(SEARCH(INDIRECT(CELL("address")),A60),0)</f>
        <v>1</v>
      </c>
      <c r="C60" s="34">
        <f ca="1">IF(B60=0,"",COUNTIF($B$2:B60,"&gt;0"))</f>
        <v>59</v>
      </c>
      <c r="D60" s="34">
        <f t="shared" ca="1" si="0"/>
        <v>0</v>
      </c>
    </row>
    <row r="61" spans="1:4" x14ac:dyDescent="0.4">
      <c r="A61" s="79">
        <f>'Trial Balance Dump'!B65</f>
        <v>0</v>
      </c>
      <c r="B61" s="34" cm="1">
        <f t="array" aca="1" ref="B61" ca="1">IFERROR(SEARCH(INDIRECT(CELL("address")),A61),0)</f>
        <v>1</v>
      </c>
      <c r="C61" s="34">
        <f ca="1">IF(B61=0,"",COUNTIF($B$2:B61,"&gt;0"))</f>
        <v>60</v>
      </c>
      <c r="D61" s="34">
        <f t="shared" ca="1" si="0"/>
        <v>0</v>
      </c>
    </row>
    <row r="62" spans="1:4" x14ac:dyDescent="0.4">
      <c r="A62" s="79">
        <f>'Trial Balance Dump'!B66</f>
        <v>0</v>
      </c>
      <c r="B62" s="34" cm="1">
        <f t="array" aca="1" ref="B62" ca="1">IFERROR(SEARCH(INDIRECT(CELL("address")),A62),0)</f>
        <v>1</v>
      </c>
      <c r="C62" s="34">
        <f ca="1">IF(B62=0,"",COUNTIF($B$2:B62,"&gt;0"))</f>
        <v>61</v>
      </c>
      <c r="D62" s="34">
        <f t="shared" ca="1" si="0"/>
        <v>0</v>
      </c>
    </row>
    <row r="63" spans="1:4" x14ac:dyDescent="0.4">
      <c r="A63" s="79">
        <f>'Trial Balance Dump'!B67</f>
        <v>0</v>
      </c>
      <c r="B63" s="34" cm="1">
        <f t="array" aca="1" ref="B63" ca="1">IFERROR(SEARCH(INDIRECT(CELL("address")),A63),0)</f>
        <v>1</v>
      </c>
      <c r="C63" s="34">
        <f ca="1">IF(B63=0,"",COUNTIF($B$2:B63,"&gt;0"))</f>
        <v>62</v>
      </c>
      <c r="D63" s="34">
        <f t="shared" ca="1" si="0"/>
        <v>0</v>
      </c>
    </row>
    <row r="64" spans="1:4" x14ac:dyDescent="0.4">
      <c r="A64" s="79">
        <f>'Trial Balance Dump'!B68</f>
        <v>0</v>
      </c>
      <c r="B64" s="34" cm="1">
        <f t="array" aca="1" ref="B64" ca="1">IFERROR(SEARCH(INDIRECT(CELL("address")),A64),0)</f>
        <v>1</v>
      </c>
      <c r="C64" s="34">
        <f ca="1">IF(B64=0,"",COUNTIF($B$2:B64,"&gt;0"))</f>
        <v>63</v>
      </c>
      <c r="D64" s="34">
        <f t="shared" ca="1" si="0"/>
        <v>0</v>
      </c>
    </row>
    <row r="65" spans="1:4" x14ac:dyDescent="0.4">
      <c r="A65" s="79">
        <f>'Trial Balance Dump'!B69</f>
        <v>0</v>
      </c>
      <c r="B65" s="34" cm="1">
        <f t="array" aca="1" ref="B65" ca="1">IFERROR(SEARCH(INDIRECT(CELL("address")),A65),0)</f>
        <v>1</v>
      </c>
      <c r="C65" s="34">
        <f ca="1">IF(B65=0,"",COUNTIF($B$2:B65,"&gt;0"))</f>
        <v>64</v>
      </c>
      <c r="D65" s="34">
        <f t="shared" ca="1" si="0"/>
        <v>0</v>
      </c>
    </row>
    <row r="66" spans="1:4" x14ac:dyDescent="0.4">
      <c r="A66" s="79">
        <f>'Trial Balance Dump'!B70</f>
        <v>0</v>
      </c>
      <c r="B66" s="34" cm="1">
        <f t="array" aca="1" ref="B66" ca="1">IFERROR(SEARCH(INDIRECT(CELL("address")),A66),0)</f>
        <v>1</v>
      </c>
      <c r="C66" s="34">
        <f ca="1">IF(B66=0,"",COUNTIF($B$2:B66,"&gt;0"))</f>
        <v>65</v>
      </c>
      <c r="D66" s="34">
        <f t="shared" ca="1" si="0"/>
        <v>0</v>
      </c>
    </row>
    <row r="67" spans="1:4" x14ac:dyDescent="0.4">
      <c r="A67" s="79">
        <f>'Trial Balance Dump'!B71</f>
        <v>0</v>
      </c>
      <c r="B67" s="34" cm="1">
        <f t="array" aca="1" ref="B67" ca="1">IFERROR(SEARCH(INDIRECT(CELL("address")),A67),0)</f>
        <v>1</v>
      </c>
      <c r="C67" s="34">
        <f ca="1">IF(B67=0,"",COUNTIF($B$2:B67,"&gt;0"))</f>
        <v>66</v>
      </c>
      <c r="D67" s="34">
        <f t="shared" ref="D67:D130" ca="1" si="1">IFERROR(INDEX(A:A,MATCH(ROW(B66),C:C,0)),"")</f>
        <v>0</v>
      </c>
    </row>
    <row r="68" spans="1:4" x14ac:dyDescent="0.4">
      <c r="A68" s="79">
        <f>'Trial Balance Dump'!B72</f>
        <v>0</v>
      </c>
      <c r="B68" s="34" cm="1">
        <f t="array" aca="1" ref="B68" ca="1">IFERROR(SEARCH(INDIRECT(CELL("address")),A68),0)</f>
        <v>1</v>
      </c>
      <c r="C68" s="34">
        <f ca="1">IF(B68=0,"",COUNTIF($B$2:B68,"&gt;0"))</f>
        <v>67</v>
      </c>
      <c r="D68" s="34">
        <f t="shared" ca="1" si="1"/>
        <v>0</v>
      </c>
    </row>
    <row r="69" spans="1:4" x14ac:dyDescent="0.4">
      <c r="A69" s="79">
        <f>'Trial Balance Dump'!B73</f>
        <v>0</v>
      </c>
      <c r="B69" s="34" cm="1">
        <f t="array" aca="1" ref="B69" ca="1">IFERROR(SEARCH(INDIRECT(CELL("address")),A69),0)</f>
        <v>1</v>
      </c>
      <c r="C69" s="34">
        <f ca="1">IF(B69=0,"",COUNTIF($B$2:B69,"&gt;0"))</f>
        <v>68</v>
      </c>
      <c r="D69" s="34">
        <f t="shared" ca="1" si="1"/>
        <v>0</v>
      </c>
    </row>
    <row r="70" spans="1:4" x14ac:dyDescent="0.4">
      <c r="A70" s="79">
        <f>'Trial Balance Dump'!B74</f>
        <v>0</v>
      </c>
      <c r="B70" s="34" cm="1">
        <f t="array" aca="1" ref="B70" ca="1">IFERROR(SEARCH(INDIRECT(CELL("address")),A70),0)</f>
        <v>1</v>
      </c>
      <c r="C70" s="34">
        <f ca="1">IF(B70=0,"",COUNTIF($B$2:B70,"&gt;0"))</f>
        <v>69</v>
      </c>
      <c r="D70" s="34">
        <f t="shared" ca="1" si="1"/>
        <v>0</v>
      </c>
    </row>
    <row r="71" spans="1:4" x14ac:dyDescent="0.4">
      <c r="A71" s="79">
        <f>'Trial Balance Dump'!B75</f>
        <v>0</v>
      </c>
      <c r="B71" s="34" cm="1">
        <f t="array" aca="1" ref="B71" ca="1">IFERROR(SEARCH(INDIRECT(CELL("address")),A71),0)</f>
        <v>1</v>
      </c>
      <c r="C71" s="34">
        <f ca="1">IF(B71=0,"",COUNTIF($B$2:B71,"&gt;0"))</f>
        <v>70</v>
      </c>
      <c r="D71" s="34">
        <f t="shared" ca="1" si="1"/>
        <v>0</v>
      </c>
    </row>
    <row r="72" spans="1:4" x14ac:dyDescent="0.4">
      <c r="A72" s="79">
        <f>'Trial Balance Dump'!B76</f>
        <v>0</v>
      </c>
      <c r="B72" s="34" cm="1">
        <f t="array" aca="1" ref="B72" ca="1">IFERROR(SEARCH(INDIRECT(CELL("address")),A72),0)</f>
        <v>1</v>
      </c>
      <c r="C72" s="34">
        <f ca="1">IF(B72=0,"",COUNTIF($B$2:B72,"&gt;0"))</f>
        <v>71</v>
      </c>
      <c r="D72" s="34">
        <f t="shared" ca="1" si="1"/>
        <v>0</v>
      </c>
    </row>
    <row r="73" spans="1:4" x14ac:dyDescent="0.4">
      <c r="A73" s="79">
        <f>'Trial Balance Dump'!B77</f>
        <v>0</v>
      </c>
      <c r="B73" s="34" cm="1">
        <f t="array" aca="1" ref="B73" ca="1">IFERROR(SEARCH(INDIRECT(CELL("address")),A73),0)</f>
        <v>1</v>
      </c>
      <c r="C73" s="34">
        <f ca="1">IF(B73=0,"",COUNTIF($B$2:B73,"&gt;0"))</f>
        <v>72</v>
      </c>
      <c r="D73" s="34">
        <f t="shared" ca="1" si="1"/>
        <v>0</v>
      </c>
    </row>
    <row r="74" spans="1:4" x14ac:dyDescent="0.4">
      <c r="A74" s="79">
        <f>'Trial Balance Dump'!B78</f>
        <v>0</v>
      </c>
      <c r="B74" s="34" cm="1">
        <f t="array" aca="1" ref="B74" ca="1">IFERROR(SEARCH(INDIRECT(CELL("address")),A74),0)</f>
        <v>1</v>
      </c>
      <c r="C74" s="34">
        <f ca="1">IF(B74=0,"",COUNTIF($B$2:B74,"&gt;0"))</f>
        <v>73</v>
      </c>
      <c r="D74" s="34">
        <f t="shared" ca="1" si="1"/>
        <v>0</v>
      </c>
    </row>
    <row r="75" spans="1:4" x14ac:dyDescent="0.4">
      <c r="A75" s="79">
        <f>'Trial Balance Dump'!B79</f>
        <v>0</v>
      </c>
      <c r="B75" s="34" cm="1">
        <f t="array" aca="1" ref="B75" ca="1">IFERROR(SEARCH(INDIRECT(CELL("address")),A75),0)</f>
        <v>1</v>
      </c>
      <c r="C75" s="34">
        <f ca="1">IF(B75=0,"",COUNTIF($B$2:B75,"&gt;0"))</f>
        <v>74</v>
      </c>
      <c r="D75" s="34">
        <f t="shared" ca="1" si="1"/>
        <v>0</v>
      </c>
    </row>
    <row r="76" spans="1:4" x14ac:dyDescent="0.4">
      <c r="A76" s="79">
        <f>'Trial Balance Dump'!B80</f>
        <v>0</v>
      </c>
      <c r="B76" s="34" cm="1">
        <f t="array" aca="1" ref="B76" ca="1">IFERROR(SEARCH(INDIRECT(CELL("address")),A76),0)</f>
        <v>1</v>
      </c>
      <c r="C76" s="34">
        <f ca="1">IF(B76=0,"",COUNTIF($B$2:B76,"&gt;0"))</f>
        <v>75</v>
      </c>
      <c r="D76" s="34">
        <f t="shared" ca="1" si="1"/>
        <v>0</v>
      </c>
    </row>
    <row r="77" spans="1:4" x14ac:dyDescent="0.4">
      <c r="A77" s="79">
        <f>'Trial Balance Dump'!B81</f>
        <v>0</v>
      </c>
      <c r="B77" s="34" cm="1">
        <f t="array" aca="1" ref="B77" ca="1">IFERROR(SEARCH(INDIRECT(CELL("address")),A77),0)</f>
        <v>1</v>
      </c>
      <c r="C77" s="34">
        <f ca="1">IF(B77=0,"",COUNTIF($B$2:B77,"&gt;0"))</f>
        <v>76</v>
      </c>
      <c r="D77" s="34">
        <f t="shared" ca="1" si="1"/>
        <v>0</v>
      </c>
    </row>
    <row r="78" spans="1:4" x14ac:dyDescent="0.4">
      <c r="A78" s="79">
        <f>'Trial Balance Dump'!B82</f>
        <v>0</v>
      </c>
      <c r="B78" s="34" cm="1">
        <f t="array" aca="1" ref="B78" ca="1">IFERROR(SEARCH(INDIRECT(CELL("address")),A78),0)</f>
        <v>1</v>
      </c>
      <c r="C78" s="34">
        <f ca="1">IF(B78=0,"",COUNTIF($B$2:B78,"&gt;0"))</f>
        <v>77</v>
      </c>
      <c r="D78" s="34">
        <f t="shared" ca="1" si="1"/>
        <v>0</v>
      </c>
    </row>
    <row r="79" spans="1:4" x14ac:dyDescent="0.4">
      <c r="A79" s="79">
        <f>'Trial Balance Dump'!B83</f>
        <v>0</v>
      </c>
      <c r="B79" s="34" cm="1">
        <f t="array" aca="1" ref="B79" ca="1">IFERROR(SEARCH(INDIRECT(CELL("address")),A79),0)</f>
        <v>1</v>
      </c>
      <c r="C79" s="34">
        <f ca="1">IF(B79=0,"",COUNTIF($B$2:B79,"&gt;0"))</f>
        <v>78</v>
      </c>
      <c r="D79" s="34">
        <f t="shared" ca="1" si="1"/>
        <v>0</v>
      </c>
    </row>
    <row r="80" spans="1:4" x14ac:dyDescent="0.4">
      <c r="A80" s="79">
        <f>'Trial Balance Dump'!B84</f>
        <v>0</v>
      </c>
      <c r="B80" s="34" cm="1">
        <f t="array" aca="1" ref="B80" ca="1">IFERROR(SEARCH(INDIRECT(CELL("address")),A80),0)</f>
        <v>1</v>
      </c>
      <c r="C80" s="34">
        <f ca="1">IF(B80=0,"",COUNTIF($B$2:B80,"&gt;0"))</f>
        <v>79</v>
      </c>
      <c r="D80" s="34">
        <f t="shared" ca="1" si="1"/>
        <v>0</v>
      </c>
    </row>
    <row r="81" spans="1:4" x14ac:dyDescent="0.4">
      <c r="A81" s="79">
        <f>'Trial Balance Dump'!B85</f>
        <v>0</v>
      </c>
      <c r="B81" s="34" cm="1">
        <f t="array" aca="1" ref="B81" ca="1">IFERROR(SEARCH(INDIRECT(CELL("address")),A81),0)</f>
        <v>1</v>
      </c>
      <c r="C81" s="34">
        <f ca="1">IF(B81=0,"",COUNTIF($B$2:B81,"&gt;0"))</f>
        <v>80</v>
      </c>
      <c r="D81" s="34">
        <f t="shared" ca="1" si="1"/>
        <v>0</v>
      </c>
    </row>
    <row r="82" spans="1:4" x14ac:dyDescent="0.4">
      <c r="A82" s="79">
        <f>'Trial Balance Dump'!B86</f>
        <v>0</v>
      </c>
      <c r="B82" s="34" cm="1">
        <f t="array" aca="1" ref="B82" ca="1">IFERROR(SEARCH(INDIRECT(CELL("address")),A82),0)</f>
        <v>1</v>
      </c>
      <c r="C82" s="34">
        <f ca="1">IF(B82=0,"",COUNTIF($B$2:B82,"&gt;0"))</f>
        <v>81</v>
      </c>
      <c r="D82" s="34">
        <f t="shared" ca="1" si="1"/>
        <v>0</v>
      </c>
    </row>
    <row r="83" spans="1:4" x14ac:dyDescent="0.4">
      <c r="A83" s="79">
        <f>'Trial Balance Dump'!B87</f>
        <v>0</v>
      </c>
      <c r="B83" s="34" cm="1">
        <f t="array" aca="1" ref="B83" ca="1">IFERROR(SEARCH(INDIRECT(CELL("address")),A83),0)</f>
        <v>1</v>
      </c>
      <c r="C83" s="34">
        <f ca="1">IF(B83=0,"",COUNTIF($B$2:B83,"&gt;0"))</f>
        <v>82</v>
      </c>
      <c r="D83" s="34">
        <f t="shared" ca="1" si="1"/>
        <v>0</v>
      </c>
    </row>
    <row r="84" spans="1:4" x14ac:dyDescent="0.4">
      <c r="A84" s="79">
        <f>'Trial Balance Dump'!B88</f>
        <v>0</v>
      </c>
      <c r="B84" s="34" cm="1">
        <f t="array" aca="1" ref="B84" ca="1">IFERROR(SEARCH(INDIRECT(CELL("address")),A84),0)</f>
        <v>1</v>
      </c>
      <c r="C84" s="34">
        <f ca="1">IF(B84=0,"",COUNTIF($B$2:B84,"&gt;0"))</f>
        <v>83</v>
      </c>
      <c r="D84" s="34">
        <f t="shared" ca="1" si="1"/>
        <v>0</v>
      </c>
    </row>
    <row r="85" spans="1:4" x14ac:dyDescent="0.4">
      <c r="A85" s="79">
        <f>'Trial Balance Dump'!B89</f>
        <v>0</v>
      </c>
      <c r="B85" s="34" cm="1">
        <f t="array" aca="1" ref="B85" ca="1">IFERROR(SEARCH(INDIRECT(CELL("address")),A85),0)</f>
        <v>1</v>
      </c>
      <c r="C85" s="34">
        <f ca="1">IF(B85=0,"",COUNTIF($B$2:B85,"&gt;0"))</f>
        <v>84</v>
      </c>
      <c r="D85" s="34">
        <f t="shared" ca="1" si="1"/>
        <v>0</v>
      </c>
    </row>
    <row r="86" spans="1:4" x14ac:dyDescent="0.4">
      <c r="A86" s="79">
        <f>'Trial Balance Dump'!B90</f>
        <v>0</v>
      </c>
      <c r="B86" s="34" cm="1">
        <f t="array" aca="1" ref="B86" ca="1">IFERROR(SEARCH(INDIRECT(CELL("address")),A86),0)</f>
        <v>1</v>
      </c>
      <c r="C86" s="34">
        <f ca="1">IF(B86=0,"",COUNTIF($B$2:B86,"&gt;0"))</f>
        <v>85</v>
      </c>
      <c r="D86" s="34">
        <f t="shared" ca="1" si="1"/>
        <v>0</v>
      </c>
    </row>
    <row r="87" spans="1:4" x14ac:dyDescent="0.4">
      <c r="A87" s="79">
        <f>'Trial Balance Dump'!B91</f>
        <v>0</v>
      </c>
      <c r="B87" s="34" cm="1">
        <f t="array" aca="1" ref="B87" ca="1">IFERROR(SEARCH(INDIRECT(CELL("address")),A87),0)</f>
        <v>1</v>
      </c>
      <c r="C87" s="34">
        <f ca="1">IF(B87=0,"",COUNTIF($B$2:B87,"&gt;0"))</f>
        <v>86</v>
      </c>
      <c r="D87" s="34">
        <f t="shared" ca="1" si="1"/>
        <v>0</v>
      </c>
    </row>
    <row r="88" spans="1:4" x14ac:dyDescent="0.4">
      <c r="A88" s="79">
        <f>'Trial Balance Dump'!B92</f>
        <v>0</v>
      </c>
      <c r="B88" s="34" cm="1">
        <f t="array" aca="1" ref="B88" ca="1">IFERROR(SEARCH(INDIRECT(CELL("address")),A88),0)</f>
        <v>1</v>
      </c>
      <c r="C88" s="34">
        <f ca="1">IF(B88=0,"",COUNTIF($B$2:B88,"&gt;0"))</f>
        <v>87</v>
      </c>
      <c r="D88" s="34">
        <f t="shared" ca="1" si="1"/>
        <v>0</v>
      </c>
    </row>
    <row r="89" spans="1:4" x14ac:dyDescent="0.4">
      <c r="A89" s="79">
        <f>'Trial Balance Dump'!B93</f>
        <v>0</v>
      </c>
      <c r="B89" s="34" cm="1">
        <f t="array" aca="1" ref="B89" ca="1">IFERROR(SEARCH(INDIRECT(CELL("address")),A89),0)</f>
        <v>1</v>
      </c>
      <c r="C89" s="34">
        <f ca="1">IF(B89=0,"",COUNTIF($B$2:B89,"&gt;0"))</f>
        <v>88</v>
      </c>
      <c r="D89" s="34">
        <f t="shared" ca="1" si="1"/>
        <v>0</v>
      </c>
    </row>
    <row r="90" spans="1:4" x14ac:dyDescent="0.4">
      <c r="A90" s="79">
        <f>'Trial Balance Dump'!B94</f>
        <v>0</v>
      </c>
      <c r="B90" s="34" cm="1">
        <f t="array" aca="1" ref="B90" ca="1">IFERROR(SEARCH(INDIRECT(CELL("address")),A90),0)</f>
        <v>1</v>
      </c>
      <c r="C90" s="34">
        <f ca="1">IF(B90=0,"",COUNTIF($B$2:B90,"&gt;0"))</f>
        <v>89</v>
      </c>
      <c r="D90" s="34">
        <f t="shared" ca="1" si="1"/>
        <v>0</v>
      </c>
    </row>
    <row r="91" spans="1:4" x14ac:dyDescent="0.4">
      <c r="A91" s="79">
        <f>'Trial Balance Dump'!B95</f>
        <v>0</v>
      </c>
      <c r="B91" s="34" cm="1">
        <f t="array" aca="1" ref="B91" ca="1">IFERROR(SEARCH(INDIRECT(CELL("address")),A91),0)</f>
        <v>1</v>
      </c>
      <c r="C91" s="34">
        <f ca="1">IF(B91=0,"",COUNTIF($B$2:B91,"&gt;0"))</f>
        <v>90</v>
      </c>
      <c r="D91" s="34">
        <f t="shared" ca="1" si="1"/>
        <v>0</v>
      </c>
    </row>
    <row r="92" spans="1:4" x14ac:dyDescent="0.4">
      <c r="A92" s="79">
        <f>'Trial Balance Dump'!B96</f>
        <v>0</v>
      </c>
      <c r="B92" s="34" cm="1">
        <f t="array" aca="1" ref="B92" ca="1">IFERROR(SEARCH(INDIRECT(CELL("address")),A92),0)</f>
        <v>1</v>
      </c>
      <c r="C92" s="34">
        <f ca="1">IF(B92=0,"",COUNTIF($B$2:B92,"&gt;0"))</f>
        <v>91</v>
      </c>
      <c r="D92" s="34">
        <f t="shared" ca="1" si="1"/>
        <v>0</v>
      </c>
    </row>
    <row r="93" spans="1:4" x14ac:dyDescent="0.4">
      <c r="A93" s="79">
        <f>'Trial Balance Dump'!B97</f>
        <v>0</v>
      </c>
      <c r="B93" s="34" cm="1">
        <f t="array" aca="1" ref="B93" ca="1">IFERROR(SEARCH(INDIRECT(CELL("address")),A93),0)</f>
        <v>1</v>
      </c>
      <c r="C93" s="34">
        <f ca="1">IF(B93=0,"",COUNTIF($B$2:B93,"&gt;0"))</f>
        <v>92</v>
      </c>
      <c r="D93" s="34">
        <f t="shared" ca="1" si="1"/>
        <v>0</v>
      </c>
    </row>
    <row r="94" spans="1:4" x14ac:dyDescent="0.4">
      <c r="A94" s="79">
        <f>'Trial Balance Dump'!B98</f>
        <v>0</v>
      </c>
      <c r="B94" s="34" cm="1">
        <f t="array" aca="1" ref="B94" ca="1">IFERROR(SEARCH(INDIRECT(CELL("address")),A94),0)</f>
        <v>1</v>
      </c>
      <c r="C94" s="34">
        <f ca="1">IF(B94=0,"",COUNTIF($B$2:B94,"&gt;0"))</f>
        <v>93</v>
      </c>
      <c r="D94" s="34">
        <f t="shared" ca="1" si="1"/>
        <v>0</v>
      </c>
    </row>
    <row r="95" spans="1:4" x14ac:dyDescent="0.4">
      <c r="A95" s="79">
        <f>'Trial Balance Dump'!B99</f>
        <v>0</v>
      </c>
      <c r="B95" s="34" cm="1">
        <f t="array" aca="1" ref="B95" ca="1">IFERROR(SEARCH(INDIRECT(CELL("address")),A95),0)</f>
        <v>1</v>
      </c>
      <c r="C95" s="34">
        <f ca="1">IF(B95=0,"",COUNTIF($B$2:B95,"&gt;0"))</f>
        <v>94</v>
      </c>
      <c r="D95" s="34">
        <f t="shared" ca="1" si="1"/>
        <v>0</v>
      </c>
    </row>
    <row r="96" spans="1:4" x14ac:dyDescent="0.4">
      <c r="A96" s="79">
        <f>'Trial Balance Dump'!B100</f>
        <v>0</v>
      </c>
      <c r="B96" s="34" cm="1">
        <f t="array" aca="1" ref="B96" ca="1">IFERROR(SEARCH(INDIRECT(CELL("address")),A96),0)</f>
        <v>1</v>
      </c>
      <c r="C96" s="34">
        <f ca="1">IF(B96=0,"",COUNTIF($B$2:B96,"&gt;0"))</f>
        <v>95</v>
      </c>
      <c r="D96" s="34">
        <f t="shared" ca="1" si="1"/>
        <v>0</v>
      </c>
    </row>
    <row r="97" spans="1:4" x14ac:dyDescent="0.4">
      <c r="A97" s="79">
        <f>'Trial Balance Dump'!B101</f>
        <v>0</v>
      </c>
      <c r="B97" s="34" cm="1">
        <f t="array" aca="1" ref="B97" ca="1">IFERROR(SEARCH(INDIRECT(CELL("address")),A97),0)</f>
        <v>1</v>
      </c>
      <c r="C97" s="34">
        <f ca="1">IF(B97=0,"",COUNTIF($B$2:B97,"&gt;0"))</f>
        <v>96</v>
      </c>
      <c r="D97" s="34">
        <f t="shared" ca="1" si="1"/>
        <v>0</v>
      </c>
    </row>
    <row r="98" spans="1:4" x14ac:dyDescent="0.4">
      <c r="A98" s="79">
        <f>'Trial Balance Dump'!B102</f>
        <v>0</v>
      </c>
      <c r="B98" s="34" cm="1">
        <f t="array" aca="1" ref="B98" ca="1">IFERROR(SEARCH(INDIRECT(CELL("address")),A98),0)</f>
        <v>1</v>
      </c>
      <c r="C98" s="34">
        <f ca="1">IF(B98=0,"",COUNTIF($B$2:B98,"&gt;0"))</f>
        <v>97</v>
      </c>
      <c r="D98" s="34">
        <f t="shared" ca="1" si="1"/>
        <v>0</v>
      </c>
    </row>
    <row r="99" spans="1:4" x14ac:dyDescent="0.4">
      <c r="A99" s="79">
        <f>'Trial Balance Dump'!B103</f>
        <v>0</v>
      </c>
      <c r="B99" s="34" cm="1">
        <f t="array" aca="1" ref="B99" ca="1">IFERROR(SEARCH(INDIRECT(CELL("address")),A99),0)</f>
        <v>1</v>
      </c>
      <c r="C99" s="34">
        <f ca="1">IF(B99=0,"",COUNTIF($B$2:B99,"&gt;0"))</f>
        <v>98</v>
      </c>
      <c r="D99" s="34">
        <f t="shared" ca="1" si="1"/>
        <v>0</v>
      </c>
    </row>
    <row r="100" spans="1:4" x14ac:dyDescent="0.4">
      <c r="A100" s="79">
        <f>'Trial Balance Dump'!B104</f>
        <v>0</v>
      </c>
      <c r="B100" s="34" cm="1">
        <f t="array" aca="1" ref="B100" ca="1">IFERROR(SEARCH(INDIRECT(CELL("address")),A100),0)</f>
        <v>1</v>
      </c>
      <c r="C100" s="34">
        <f ca="1">IF(B100=0,"",COUNTIF($B$2:B100,"&gt;0"))</f>
        <v>99</v>
      </c>
      <c r="D100" s="34">
        <f t="shared" ca="1" si="1"/>
        <v>0</v>
      </c>
    </row>
    <row r="101" spans="1:4" x14ac:dyDescent="0.4">
      <c r="A101" s="79">
        <f>'Trial Balance Dump'!B105</f>
        <v>0</v>
      </c>
      <c r="B101" s="34" cm="1">
        <f t="array" aca="1" ref="B101" ca="1">IFERROR(SEARCH(INDIRECT(CELL("address")),A101),0)</f>
        <v>1</v>
      </c>
      <c r="C101" s="34">
        <f ca="1">IF(B101=0,"",COUNTIF($B$2:B101,"&gt;0"))</f>
        <v>100</v>
      </c>
      <c r="D101" s="34">
        <f t="shared" ca="1" si="1"/>
        <v>0</v>
      </c>
    </row>
    <row r="102" spans="1:4" x14ac:dyDescent="0.4">
      <c r="A102" s="79">
        <f>'Trial Balance Dump'!B106</f>
        <v>0</v>
      </c>
      <c r="B102" s="34" cm="1">
        <f t="array" aca="1" ref="B102" ca="1">IFERROR(SEARCH(INDIRECT(CELL("address")),A102),0)</f>
        <v>1</v>
      </c>
      <c r="C102" s="34">
        <f ca="1">IF(B102=0,"",COUNTIF($B$2:B102,"&gt;0"))</f>
        <v>101</v>
      </c>
      <c r="D102" s="34">
        <f t="shared" ca="1" si="1"/>
        <v>0</v>
      </c>
    </row>
    <row r="103" spans="1:4" x14ac:dyDescent="0.4">
      <c r="A103" s="79">
        <f>'Trial Balance Dump'!B107</f>
        <v>0</v>
      </c>
      <c r="B103" s="34" cm="1">
        <f t="array" aca="1" ref="B103" ca="1">IFERROR(SEARCH(INDIRECT(CELL("address")),A103),0)</f>
        <v>1</v>
      </c>
      <c r="C103" s="34">
        <f ca="1">IF(B103=0,"",COUNTIF($B$2:B103,"&gt;0"))</f>
        <v>102</v>
      </c>
      <c r="D103" s="34">
        <f t="shared" ca="1" si="1"/>
        <v>0</v>
      </c>
    </row>
    <row r="104" spans="1:4" x14ac:dyDescent="0.4">
      <c r="A104" s="79">
        <f>'Trial Balance Dump'!B108</f>
        <v>0</v>
      </c>
      <c r="B104" s="34" cm="1">
        <f t="array" aca="1" ref="B104" ca="1">IFERROR(SEARCH(INDIRECT(CELL("address")),A104),0)</f>
        <v>1</v>
      </c>
      <c r="C104" s="34">
        <f ca="1">IF(B104=0,"",COUNTIF($B$2:B104,"&gt;0"))</f>
        <v>103</v>
      </c>
      <c r="D104" s="34">
        <f t="shared" ca="1" si="1"/>
        <v>0</v>
      </c>
    </row>
    <row r="105" spans="1:4" x14ac:dyDescent="0.4">
      <c r="A105" s="79">
        <f>'Trial Balance Dump'!B109</f>
        <v>0</v>
      </c>
      <c r="B105" s="34" cm="1">
        <f t="array" aca="1" ref="B105" ca="1">IFERROR(SEARCH(INDIRECT(CELL("address")),A105),0)</f>
        <v>1</v>
      </c>
      <c r="C105" s="34">
        <f ca="1">IF(B105=0,"",COUNTIF($B$2:B105,"&gt;0"))</f>
        <v>104</v>
      </c>
      <c r="D105" s="34">
        <f t="shared" ca="1" si="1"/>
        <v>0</v>
      </c>
    </row>
    <row r="106" spans="1:4" x14ac:dyDescent="0.4">
      <c r="A106" s="79">
        <f>'Trial Balance Dump'!B110</f>
        <v>0</v>
      </c>
      <c r="B106" s="34" cm="1">
        <f t="array" aca="1" ref="B106" ca="1">IFERROR(SEARCH(INDIRECT(CELL("address")),A106),0)</f>
        <v>1</v>
      </c>
      <c r="C106" s="34">
        <f ca="1">IF(B106=0,"",COUNTIF($B$2:B106,"&gt;0"))</f>
        <v>105</v>
      </c>
      <c r="D106" s="34">
        <f t="shared" ca="1" si="1"/>
        <v>0</v>
      </c>
    </row>
    <row r="107" spans="1:4" x14ac:dyDescent="0.4">
      <c r="A107" s="79">
        <f>'Trial Balance Dump'!B111</f>
        <v>0</v>
      </c>
      <c r="B107" s="34" cm="1">
        <f t="array" aca="1" ref="B107" ca="1">IFERROR(SEARCH(INDIRECT(CELL("address")),A107),0)</f>
        <v>1</v>
      </c>
      <c r="C107" s="34">
        <f ca="1">IF(B107=0,"",COUNTIF($B$2:B107,"&gt;0"))</f>
        <v>106</v>
      </c>
      <c r="D107" s="34">
        <f t="shared" ca="1" si="1"/>
        <v>0</v>
      </c>
    </row>
    <row r="108" spans="1:4" x14ac:dyDescent="0.4">
      <c r="A108" s="79">
        <f>'Trial Balance Dump'!B112</f>
        <v>0</v>
      </c>
      <c r="B108" s="34" cm="1">
        <f t="array" aca="1" ref="B108" ca="1">IFERROR(SEARCH(INDIRECT(CELL("address")),A108),0)</f>
        <v>1</v>
      </c>
      <c r="C108" s="34">
        <f ca="1">IF(B108=0,"",COUNTIF($B$2:B108,"&gt;0"))</f>
        <v>107</v>
      </c>
      <c r="D108" s="34">
        <f t="shared" ca="1" si="1"/>
        <v>0</v>
      </c>
    </row>
    <row r="109" spans="1:4" x14ac:dyDescent="0.4">
      <c r="A109" s="79">
        <f>'Trial Balance Dump'!B113</f>
        <v>0</v>
      </c>
      <c r="B109" s="34" cm="1">
        <f t="array" aca="1" ref="B109" ca="1">IFERROR(SEARCH(INDIRECT(CELL("address")),A109),0)</f>
        <v>1</v>
      </c>
      <c r="C109" s="34">
        <f ca="1">IF(B109=0,"",COUNTIF($B$2:B109,"&gt;0"))</f>
        <v>108</v>
      </c>
      <c r="D109" s="34">
        <f t="shared" ca="1" si="1"/>
        <v>0</v>
      </c>
    </row>
    <row r="110" spans="1:4" x14ac:dyDescent="0.4">
      <c r="A110" s="79">
        <f>'Trial Balance Dump'!B114</f>
        <v>0</v>
      </c>
      <c r="B110" s="34" cm="1">
        <f t="array" aca="1" ref="B110" ca="1">IFERROR(SEARCH(INDIRECT(CELL("address")),A110),0)</f>
        <v>1</v>
      </c>
      <c r="C110" s="34">
        <f ca="1">IF(B110=0,"",COUNTIF($B$2:B110,"&gt;0"))</f>
        <v>109</v>
      </c>
      <c r="D110" s="34">
        <f t="shared" ca="1" si="1"/>
        <v>0</v>
      </c>
    </row>
    <row r="111" spans="1:4" x14ac:dyDescent="0.4">
      <c r="A111" s="79">
        <f>'Trial Balance Dump'!B115</f>
        <v>0</v>
      </c>
      <c r="B111" s="34" cm="1">
        <f t="array" aca="1" ref="B111" ca="1">IFERROR(SEARCH(INDIRECT(CELL("address")),A111),0)</f>
        <v>1</v>
      </c>
      <c r="C111" s="34">
        <f ca="1">IF(B111=0,"",COUNTIF($B$2:B111,"&gt;0"))</f>
        <v>110</v>
      </c>
      <c r="D111" s="34">
        <f t="shared" ca="1" si="1"/>
        <v>0</v>
      </c>
    </row>
    <row r="112" spans="1:4" x14ac:dyDescent="0.4">
      <c r="A112" s="79">
        <f>'Trial Balance Dump'!B116</f>
        <v>0</v>
      </c>
      <c r="B112" s="34" cm="1">
        <f t="array" aca="1" ref="B112" ca="1">IFERROR(SEARCH(INDIRECT(CELL("address")),A112),0)</f>
        <v>1</v>
      </c>
      <c r="C112" s="34">
        <f ca="1">IF(B112=0,"",COUNTIF($B$2:B112,"&gt;0"))</f>
        <v>111</v>
      </c>
      <c r="D112" s="34">
        <f t="shared" ca="1" si="1"/>
        <v>0</v>
      </c>
    </row>
    <row r="113" spans="1:4" x14ac:dyDescent="0.4">
      <c r="A113" s="79">
        <f>'Trial Balance Dump'!B117</f>
        <v>0</v>
      </c>
      <c r="B113" s="34" cm="1">
        <f t="array" aca="1" ref="B113" ca="1">IFERROR(SEARCH(INDIRECT(CELL("address")),A113),0)</f>
        <v>1</v>
      </c>
      <c r="C113" s="34">
        <f ca="1">IF(B113=0,"",COUNTIF($B$2:B113,"&gt;0"))</f>
        <v>112</v>
      </c>
      <c r="D113" s="34">
        <f t="shared" ca="1" si="1"/>
        <v>0</v>
      </c>
    </row>
    <row r="114" spans="1:4" x14ac:dyDescent="0.4">
      <c r="A114" s="79">
        <f>'Trial Balance Dump'!B118</f>
        <v>0</v>
      </c>
      <c r="B114" s="34" cm="1">
        <f t="array" aca="1" ref="B114" ca="1">IFERROR(SEARCH(INDIRECT(CELL("address")),A114),0)</f>
        <v>1</v>
      </c>
      <c r="C114" s="34">
        <f ca="1">IF(B114=0,"",COUNTIF($B$2:B114,"&gt;0"))</f>
        <v>113</v>
      </c>
      <c r="D114" s="34">
        <f t="shared" ca="1" si="1"/>
        <v>0</v>
      </c>
    </row>
    <row r="115" spans="1:4" x14ac:dyDescent="0.4">
      <c r="A115" s="79">
        <f>'Trial Balance Dump'!B119</f>
        <v>0</v>
      </c>
      <c r="B115" s="34" cm="1">
        <f t="array" aca="1" ref="B115" ca="1">IFERROR(SEARCH(INDIRECT(CELL("address")),A115),0)</f>
        <v>1</v>
      </c>
      <c r="C115" s="34">
        <f ca="1">IF(B115=0,"",COUNTIF($B$2:B115,"&gt;0"))</f>
        <v>114</v>
      </c>
      <c r="D115" s="34">
        <f t="shared" ca="1" si="1"/>
        <v>0</v>
      </c>
    </row>
    <row r="116" spans="1:4" x14ac:dyDescent="0.4">
      <c r="A116" s="79">
        <f>'Trial Balance Dump'!B120</f>
        <v>0</v>
      </c>
      <c r="B116" s="34" cm="1">
        <f t="array" aca="1" ref="B116" ca="1">IFERROR(SEARCH(INDIRECT(CELL("address")),A116),0)</f>
        <v>1</v>
      </c>
      <c r="C116" s="34">
        <f ca="1">IF(B116=0,"",COUNTIF($B$2:B116,"&gt;0"))</f>
        <v>115</v>
      </c>
      <c r="D116" s="34">
        <f t="shared" ca="1" si="1"/>
        <v>0</v>
      </c>
    </row>
    <row r="117" spans="1:4" x14ac:dyDescent="0.4">
      <c r="A117" s="79">
        <f>'Trial Balance Dump'!B121</f>
        <v>0</v>
      </c>
      <c r="B117" s="34" cm="1">
        <f t="array" aca="1" ref="B117" ca="1">IFERROR(SEARCH(INDIRECT(CELL("address")),A117),0)</f>
        <v>1</v>
      </c>
      <c r="C117" s="34">
        <f ca="1">IF(B117=0,"",COUNTIF($B$2:B117,"&gt;0"))</f>
        <v>116</v>
      </c>
      <c r="D117" s="34">
        <f t="shared" ca="1" si="1"/>
        <v>0</v>
      </c>
    </row>
    <row r="118" spans="1:4" x14ac:dyDescent="0.4">
      <c r="A118" s="79">
        <f>'Trial Balance Dump'!B122</f>
        <v>0</v>
      </c>
      <c r="B118" s="34" cm="1">
        <f t="array" aca="1" ref="B118" ca="1">IFERROR(SEARCH(INDIRECT(CELL("address")),A118),0)</f>
        <v>1</v>
      </c>
      <c r="C118" s="34">
        <f ca="1">IF(B118=0,"",COUNTIF($B$2:B118,"&gt;0"))</f>
        <v>117</v>
      </c>
      <c r="D118" s="34">
        <f t="shared" ca="1" si="1"/>
        <v>0</v>
      </c>
    </row>
    <row r="119" spans="1:4" x14ac:dyDescent="0.4">
      <c r="A119" s="79">
        <f>'Trial Balance Dump'!B123</f>
        <v>0</v>
      </c>
      <c r="B119" s="34" cm="1">
        <f t="array" aca="1" ref="B119" ca="1">IFERROR(SEARCH(INDIRECT(CELL("address")),A119),0)</f>
        <v>1</v>
      </c>
      <c r="C119" s="34">
        <f ca="1">IF(B119=0,"",COUNTIF($B$2:B119,"&gt;0"))</f>
        <v>118</v>
      </c>
      <c r="D119" s="34">
        <f t="shared" ca="1" si="1"/>
        <v>0</v>
      </c>
    </row>
    <row r="120" spans="1:4" x14ac:dyDescent="0.4">
      <c r="A120" s="79">
        <f>'Trial Balance Dump'!B124</f>
        <v>0</v>
      </c>
      <c r="B120" s="34" cm="1">
        <f t="array" aca="1" ref="B120" ca="1">IFERROR(SEARCH(INDIRECT(CELL("address")),A120),0)</f>
        <v>1</v>
      </c>
      <c r="C120" s="34">
        <f ca="1">IF(B120=0,"",COUNTIF($B$2:B120,"&gt;0"))</f>
        <v>119</v>
      </c>
      <c r="D120" s="34">
        <f t="shared" ca="1" si="1"/>
        <v>0</v>
      </c>
    </row>
    <row r="121" spans="1:4" x14ac:dyDescent="0.4">
      <c r="A121" s="79">
        <f>'Trial Balance Dump'!B125</f>
        <v>0</v>
      </c>
      <c r="B121" s="34" cm="1">
        <f t="array" aca="1" ref="B121" ca="1">IFERROR(SEARCH(INDIRECT(CELL("address")),A121),0)</f>
        <v>1</v>
      </c>
      <c r="C121" s="34">
        <f ca="1">IF(B121=0,"",COUNTIF($B$2:B121,"&gt;0"))</f>
        <v>120</v>
      </c>
      <c r="D121" s="34">
        <f t="shared" ca="1" si="1"/>
        <v>0</v>
      </c>
    </row>
    <row r="122" spans="1:4" x14ac:dyDescent="0.4">
      <c r="A122" s="79">
        <f>'Trial Balance Dump'!B126</f>
        <v>0</v>
      </c>
      <c r="B122" s="34" cm="1">
        <f t="array" aca="1" ref="B122" ca="1">IFERROR(SEARCH(INDIRECT(CELL("address")),A122),0)</f>
        <v>1</v>
      </c>
      <c r="C122" s="34">
        <f ca="1">IF(B122=0,"",COUNTIF($B$2:B122,"&gt;0"))</f>
        <v>121</v>
      </c>
      <c r="D122" s="34">
        <f t="shared" ca="1" si="1"/>
        <v>0</v>
      </c>
    </row>
    <row r="123" spans="1:4" x14ac:dyDescent="0.4">
      <c r="A123" s="79">
        <f>'Trial Balance Dump'!B127</f>
        <v>0</v>
      </c>
      <c r="B123" s="34" cm="1">
        <f t="array" aca="1" ref="B123" ca="1">IFERROR(SEARCH(INDIRECT(CELL("address")),A123),0)</f>
        <v>1</v>
      </c>
      <c r="C123" s="34">
        <f ca="1">IF(B123=0,"",COUNTIF($B$2:B123,"&gt;0"))</f>
        <v>122</v>
      </c>
      <c r="D123" s="34">
        <f t="shared" ca="1" si="1"/>
        <v>0</v>
      </c>
    </row>
    <row r="124" spans="1:4" x14ac:dyDescent="0.4">
      <c r="A124" s="79">
        <f>'Trial Balance Dump'!B128</f>
        <v>0</v>
      </c>
      <c r="B124" s="34" cm="1">
        <f t="array" aca="1" ref="B124" ca="1">IFERROR(SEARCH(INDIRECT(CELL("address")),A124),0)</f>
        <v>1</v>
      </c>
      <c r="C124" s="34">
        <f ca="1">IF(B124=0,"",COUNTIF($B$2:B124,"&gt;0"))</f>
        <v>123</v>
      </c>
      <c r="D124" s="34">
        <f t="shared" ca="1" si="1"/>
        <v>0</v>
      </c>
    </row>
    <row r="125" spans="1:4" x14ac:dyDescent="0.4">
      <c r="A125" s="79">
        <f>'Trial Balance Dump'!B129</f>
        <v>0</v>
      </c>
      <c r="B125" s="34" cm="1">
        <f t="array" aca="1" ref="B125" ca="1">IFERROR(SEARCH(INDIRECT(CELL("address")),A125),0)</f>
        <v>1</v>
      </c>
      <c r="C125" s="34">
        <f ca="1">IF(B125=0,"",COUNTIF($B$2:B125,"&gt;0"))</f>
        <v>124</v>
      </c>
      <c r="D125" s="34">
        <f t="shared" ca="1" si="1"/>
        <v>0</v>
      </c>
    </row>
    <row r="126" spans="1:4" x14ac:dyDescent="0.4">
      <c r="A126" s="79">
        <f>'Trial Balance Dump'!B130</f>
        <v>0</v>
      </c>
      <c r="B126" s="34" cm="1">
        <f t="array" aca="1" ref="B126" ca="1">IFERROR(SEARCH(INDIRECT(CELL("address")),A126),0)</f>
        <v>1</v>
      </c>
      <c r="C126" s="34">
        <f ca="1">IF(B126=0,"",COUNTIF($B$2:B126,"&gt;0"))</f>
        <v>125</v>
      </c>
      <c r="D126" s="34">
        <f t="shared" ca="1" si="1"/>
        <v>0</v>
      </c>
    </row>
    <row r="127" spans="1:4" x14ac:dyDescent="0.4">
      <c r="A127" s="79">
        <f>'Trial Balance Dump'!B131</f>
        <v>0</v>
      </c>
      <c r="B127" s="34" cm="1">
        <f t="array" aca="1" ref="B127" ca="1">IFERROR(SEARCH(INDIRECT(CELL("address")),A127),0)</f>
        <v>1</v>
      </c>
      <c r="C127" s="34">
        <f ca="1">IF(B127=0,"",COUNTIF($B$2:B127,"&gt;0"))</f>
        <v>126</v>
      </c>
      <c r="D127" s="34">
        <f t="shared" ca="1" si="1"/>
        <v>0</v>
      </c>
    </row>
    <row r="128" spans="1:4" x14ac:dyDescent="0.4">
      <c r="A128" s="79">
        <f>'Trial Balance Dump'!B132</f>
        <v>0</v>
      </c>
      <c r="B128" s="34" cm="1">
        <f t="array" aca="1" ref="B128" ca="1">IFERROR(SEARCH(INDIRECT(CELL("address")),A128),0)</f>
        <v>1</v>
      </c>
      <c r="C128" s="34">
        <f ca="1">IF(B128=0,"",COUNTIF($B$2:B128,"&gt;0"))</f>
        <v>127</v>
      </c>
      <c r="D128" s="34">
        <f t="shared" ca="1" si="1"/>
        <v>0</v>
      </c>
    </row>
    <row r="129" spans="1:4" x14ac:dyDescent="0.4">
      <c r="A129" s="79">
        <f>'Trial Balance Dump'!B133</f>
        <v>0</v>
      </c>
      <c r="B129" s="34" cm="1">
        <f t="array" aca="1" ref="B129" ca="1">IFERROR(SEARCH(INDIRECT(CELL("address")),A129),0)</f>
        <v>1</v>
      </c>
      <c r="C129" s="34">
        <f ca="1">IF(B129=0,"",COUNTIF($B$2:B129,"&gt;0"))</f>
        <v>128</v>
      </c>
      <c r="D129" s="34">
        <f t="shared" ca="1" si="1"/>
        <v>0</v>
      </c>
    </row>
    <row r="130" spans="1:4" x14ac:dyDescent="0.4">
      <c r="A130" s="79">
        <f>'Trial Balance Dump'!B134</f>
        <v>0</v>
      </c>
      <c r="B130" s="34" cm="1">
        <f t="array" aca="1" ref="B130" ca="1">IFERROR(SEARCH(INDIRECT(CELL("address")),A130),0)</f>
        <v>1</v>
      </c>
      <c r="C130" s="34">
        <f ca="1">IF(B130=0,"",COUNTIF($B$2:B130,"&gt;0"))</f>
        <v>129</v>
      </c>
      <c r="D130" s="34">
        <f t="shared" ca="1" si="1"/>
        <v>0</v>
      </c>
    </row>
    <row r="131" spans="1:4" x14ac:dyDescent="0.4">
      <c r="A131" s="79">
        <f>'Trial Balance Dump'!B135</f>
        <v>0</v>
      </c>
      <c r="B131" s="34" cm="1">
        <f t="array" aca="1" ref="B131" ca="1">IFERROR(SEARCH(INDIRECT(CELL("address")),A131),0)</f>
        <v>1</v>
      </c>
      <c r="C131" s="34">
        <f ca="1">IF(B131=0,"",COUNTIF($B$2:B131,"&gt;0"))</f>
        <v>130</v>
      </c>
      <c r="D131" s="34">
        <f t="shared" ref="D131:D194" ca="1" si="2">IFERROR(INDEX(A:A,MATCH(ROW(B130),C:C,0)),"")</f>
        <v>0</v>
      </c>
    </row>
    <row r="132" spans="1:4" x14ac:dyDescent="0.4">
      <c r="A132" s="79">
        <f>'Trial Balance Dump'!B136</f>
        <v>0</v>
      </c>
      <c r="B132" s="34" cm="1">
        <f t="array" aca="1" ref="B132" ca="1">IFERROR(SEARCH(INDIRECT(CELL("address")),A132),0)</f>
        <v>1</v>
      </c>
      <c r="C132" s="34">
        <f ca="1">IF(B132=0,"",COUNTIF($B$2:B132,"&gt;0"))</f>
        <v>131</v>
      </c>
      <c r="D132" s="34">
        <f t="shared" ca="1" si="2"/>
        <v>0</v>
      </c>
    </row>
    <row r="133" spans="1:4" x14ac:dyDescent="0.4">
      <c r="A133" s="79">
        <f>'Trial Balance Dump'!B137</f>
        <v>0</v>
      </c>
      <c r="B133" s="34" cm="1">
        <f t="array" aca="1" ref="B133" ca="1">IFERROR(SEARCH(INDIRECT(CELL("address")),A133),0)</f>
        <v>1</v>
      </c>
      <c r="C133" s="34">
        <f ca="1">IF(B133=0,"",COUNTIF($B$2:B133,"&gt;0"))</f>
        <v>132</v>
      </c>
      <c r="D133" s="34">
        <f t="shared" ca="1" si="2"/>
        <v>0</v>
      </c>
    </row>
    <row r="134" spans="1:4" x14ac:dyDescent="0.4">
      <c r="A134" s="79">
        <f>'Trial Balance Dump'!B138</f>
        <v>0</v>
      </c>
      <c r="B134" s="34" cm="1">
        <f t="array" aca="1" ref="B134" ca="1">IFERROR(SEARCH(INDIRECT(CELL("address")),A134),0)</f>
        <v>1</v>
      </c>
      <c r="C134" s="34">
        <f ca="1">IF(B134=0,"",COUNTIF($B$2:B134,"&gt;0"))</f>
        <v>133</v>
      </c>
      <c r="D134" s="34">
        <f t="shared" ca="1" si="2"/>
        <v>0</v>
      </c>
    </row>
    <row r="135" spans="1:4" x14ac:dyDescent="0.4">
      <c r="A135" s="79">
        <f>'Trial Balance Dump'!B139</f>
        <v>0</v>
      </c>
      <c r="B135" s="34" cm="1">
        <f t="array" aca="1" ref="B135" ca="1">IFERROR(SEARCH(INDIRECT(CELL("address")),A135),0)</f>
        <v>1</v>
      </c>
      <c r="C135" s="34">
        <f ca="1">IF(B135=0,"",COUNTIF($B$2:B135,"&gt;0"))</f>
        <v>134</v>
      </c>
      <c r="D135" s="34">
        <f t="shared" ca="1" si="2"/>
        <v>0</v>
      </c>
    </row>
    <row r="136" spans="1:4" x14ac:dyDescent="0.4">
      <c r="A136" s="79">
        <f>'Trial Balance Dump'!B140</f>
        <v>0</v>
      </c>
      <c r="B136" s="34" cm="1">
        <f t="array" aca="1" ref="B136" ca="1">IFERROR(SEARCH(INDIRECT(CELL("address")),A136),0)</f>
        <v>1</v>
      </c>
      <c r="C136" s="34">
        <f ca="1">IF(B136=0,"",COUNTIF($B$2:B136,"&gt;0"))</f>
        <v>135</v>
      </c>
      <c r="D136" s="34">
        <f t="shared" ca="1" si="2"/>
        <v>0</v>
      </c>
    </row>
    <row r="137" spans="1:4" x14ac:dyDescent="0.4">
      <c r="A137" s="79">
        <f>'Trial Balance Dump'!B141</f>
        <v>0</v>
      </c>
      <c r="B137" s="34" cm="1">
        <f t="array" aca="1" ref="B137" ca="1">IFERROR(SEARCH(INDIRECT(CELL("address")),A137),0)</f>
        <v>1</v>
      </c>
      <c r="C137" s="34">
        <f ca="1">IF(B137=0,"",COUNTIF($B$2:B137,"&gt;0"))</f>
        <v>136</v>
      </c>
      <c r="D137" s="34">
        <f t="shared" ca="1" si="2"/>
        <v>0</v>
      </c>
    </row>
    <row r="138" spans="1:4" x14ac:dyDescent="0.4">
      <c r="A138" s="79">
        <f>'Trial Balance Dump'!B142</f>
        <v>0</v>
      </c>
      <c r="B138" s="34" cm="1">
        <f t="array" aca="1" ref="B138" ca="1">IFERROR(SEARCH(INDIRECT(CELL("address")),A138),0)</f>
        <v>1</v>
      </c>
      <c r="C138" s="34">
        <f ca="1">IF(B138=0,"",COUNTIF($B$2:B138,"&gt;0"))</f>
        <v>137</v>
      </c>
      <c r="D138" s="34">
        <f t="shared" ca="1" si="2"/>
        <v>0</v>
      </c>
    </row>
    <row r="139" spans="1:4" x14ac:dyDescent="0.4">
      <c r="A139" s="79">
        <f>'Trial Balance Dump'!B143</f>
        <v>0</v>
      </c>
      <c r="B139" s="34" cm="1">
        <f t="array" aca="1" ref="B139" ca="1">IFERROR(SEARCH(INDIRECT(CELL("address")),A139),0)</f>
        <v>1</v>
      </c>
      <c r="C139" s="34">
        <f ca="1">IF(B139=0,"",COUNTIF($B$2:B139,"&gt;0"))</f>
        <v>138</v>
      </c>
      <c r="D139" s="34">
        <f t="shared" ca="1" si="2"/>
        <v>0</v>
      </c>
    </row>
    <row r="140" spans="1:4" x14ac:dyDescent="0.4">
      <c r="A140" s="79">
        <f>'Trial Balance Dump'!B144</f>
        <v>0</v>
      </c>
      <c r="B140" s="34" cm="1">
        <f t="array" aca="1" ref="B140" ca="1">IFERROR(SEARCH(INDIRECT(CELL("address")),A140),0)</f>
        <v>1</v>
      </c>
      <c r="C140" s="34">
        <f ca="1">IF(B140=0,"",COUNTIF($B$2:B140,"&gt;0"))</f>
        <v>139</v>
      </c>
      <c r="D140" s="34">
        <f t="shared" ca="1" si="2"/>
        <v>0</v>
      </c>
    </row>
    <row r="141" spans="1:4" x14ac:dyDescent="0.4">
      <c r="A141" s="79">
        <f>'Trial Balance Dump'!B145</f>
        <v>0</v>
      </c>
      <c r="B141" s="34" cm="1">
        <f t="array" aca="1" ref="B141" ca="1">IFERROR(SEARCH(INDIRECT(CELL("address")),A141),0)</f>
        <v>1</v>
      </c>
      <c r="C141" s="34">
        <f ca="1">IF(B141=0,"",COUNTIF($B$2:B141,"&gt;0"))</f>
        <v>140</v>
      </c>
      <c r="D141" s="34">
        <f t="shared" ca="1" si="2"/>
        <v>0</v>
      </c>
    </row>
    <row r="142" spans="1:4" x14ac:dyDescent="0.4">
      <c r="A142" s="79">
        <f>'Trial Balance Dump'!B146</f>
        <v>0</v>
      </c>
      <c r="B142" s="34" cm="1">
        <f t="array" aca="1" ref="B142" ca="1">IFERROR(SEARCH(INDIRECT(CELL("address")),A142),0)</f>
        <v>1</v>
      </c>
      <c r="C142" s="34">
        <f ca="1">IF(B142=0,"",COUNTIF($B$2:B142,"&gt;0"))</f>
        <v>141</v>
      </c>
      <c r="D142" s="34">
        <f t="shared" ca="1" si="2"/>
        <v>0</v>
      </c>
    </row>
    <row r="143" spans="1:4" x14ac:dyDescent="0.4">
      <c r="A143" s="79">
        <f>'Trial Balance Dump'!B147</f>
        <v>0</v>
      </c>
      <c r="B143" s="34" cm="1">
        <f t="array" aca="1" ref="B143" ca="1">IFERROR(SEARCH(INDIRECT(CELL("address")),A143),0)</f>
        <v>1</v>
      </c>
      <c r="C143" s="34">
        <f ca="1">IF(B143=0,"",COUNTIF($B$2:B143,"&gt;0"))</f>
        <v>142</v>
      </c>
      <c r="D143" s="34">
        <f t="shared" ca="1" si="2"/>
        <v>0</v>
      </c>
    </row>
    <row r="144" spans="1:4" x14ac:dyDescent="0.4">
      <c r="A144" s="79">
        <f>'Trial Balance Dump'!B148</f>
        <v>0</v>
      </c>
      <c r="B144" s="34" cm="1">
        <f t="array" aca="1" ref="B144" ca="1">IFERROR(SEARCH(INDIRECT(CELL("address")),A144),0)</f>
        <v>1</v>
      </c>
      <c r="C144" s="34">
        <f ca="1">IF(B144=0,"",COUNTIF($B$2:B144,"&gt;0"))</f>
        <v>143</v>
      </c>
      <c r="D144" s="34">
        <f t="shared" ca="1" si="2"/>
        <v>0</v>
      </c>
    </row>
    <row r="145" spans="1:4" x14ac:dyDescent="0.4">
      <c r="A145" s="79">
        <f>'Trial Balance Dump'!B149</f>
        <v>0</v>
      </c>
      <c r="B145" s="34" cm="1">
        <f t="array" aca="1" ref="B145" ca="1">IFERROR(SEARCH(INDIRECT(CELL("address")),A145),0)</f>
        <v>1</v>
      </c>
      <c r="C145" s="34">
        <f ca="1">IF(B145=0,"",COUNTIF($B$2:B145,"&gt;0"))</f>
        <v>144</v>
      </c>
      <c r="D145" s="34">
        <f t="shared" ca="1" si="2"/>
        <v>0</v>
      </c>
    </row>
    <row r="146" spans="1:4" x14ac:dyDescent="0.4">
      <c r="A146" s="79">
        <f>'Trial Balance Dump'!B150</f>
        <v>0</v>
      </c>
      <c r="B146" s="34" cm="1">
        <f t="array" aca="1" ref="B146" ca="1">IFERROR(SEARCH(INDIRECT(CELL("address")),A146),0)</f>
        <v>1</v>
      </c>
      <c r="C146" s="34">
        <f ca="1">IF(B146=0,"",COUNTIF($B$2:B146,"&gt;0"))</f>
        <v>145</v>
      </c>
      <c r="D146" s="34">
        <f t="shared" ca="1" si="2"/>
        <v>0</v>
      </c>
    </row>
    <row r="147" spans="1:4" x14ac:dyDescent="0.4">
      <c r="A147" s="79">
        <f>'Trial Balance Dump'!B151</f>
        <v>0</v>
      </c>
      <c r="B147" s="34" cm="1">
        <f t="array" aca="1" ref="B147" ca="1">IFERROR(SEARCH(INDIRECT(CELL("address")),A147),0)</f>
        <v>1</v>
      </c>
      <c r="C147" s="34">
        <f ca="1">IF(B147=0,"",COUNTIF($B$2:B147,"&gt;0"))</f>
        <v>146</v>
      </c>
      <c r="D147" s="34">
        <f t="shared" ca="1" si="2"/>
        <v>0</v>
      </c>
    </row>
    <row r="148" spans="1:4" x14ac:dyDescent="0.4">
      <c r="A148" s="79">
        <f>'Trial Balance Dump'!B152</f>
        <v>0</v>
      </c>
      <c r="B148" s="34" cm="1">
        <f t="array" aca="1" ref="B148" ca="1">IFERROR(SEARCH(INDIRECT(CELL("address")),A148),0)</f>
        <v>1</v>
      </c>
      <c r="C148" s="34">
        <f ca="1">IF(B148=0,"",COUNTIF($B$2:B148,"&gt;0"))</f>
        <v>147</v>
      </c>
      <c r="D148" s="34">
        <f t="shared" ca="1" si="2"/>
        <v>0</v>
      </c>
    </row>
    <row r="149" spans="1:4" x14ac:dyDescent="0.4">
      <c r="A149" s="79">
        <f>'Trial Balance Dump'!B153</f>
        <v>0</v>
      </c>
      <c r="B149" s="34" cm="1">
        <f t="array" aca="1" ref="B149" ca="1">IFERROR(SEARCH(INDIRECT(CELL("address")),A149),0)</f>
        <v>1</v>
      </c>
      <c r="C149" s="34">
        <f ca="1">IF(B149=0,"",COUNTIF($B$2:B149,"&gt;0"))</f>
        <v>148</v>
      </c>
      <c r="D149" s="34">
        <f t="shared" ca="1" si="2"/>
        <v>0</v>
      </c>
    </row>
    <row r="150" spans="1:4" x14ac:dyDescent="0.4">
      <c r="A150" s="79">
        <f>'Trial Balance Dump'!B154</f>
        <v>0</v>
      </c>
      <c r="B150" s="34" cm="1">
        <f t="array" aca="1" ref="B150" ca="1">IFERROR(SEARCH(INDIRECT(CELL("address")),A150),0)</f>
        <v>1</v>
      </c>
      <c r="C150" s="34">
        <f ca="1">IF(B150=0,"",COUNTIF($B$2:B150,"&gt;0"))</f>
        <v>149</v>
      </c>
      <c r="D150" s="34">
        <f t="shared" ca="1" si="2"/>
        <v>0</v>
      </c>
    </row>
    <row r="151" spans="1:4" x14ac:dyDescent="0.4">
      <c r="A151" s="79">
        <f>'Trial Balance Dump'!B155</f>
        <v>0</v>
      </c>
      <c r="B151" s="34" cm="1">
        <f t="array" aca="1" ref="B151" ca="1">IFERROR(SEARCH(INDIRECT(CELL("address")),A151),0)</f>
        <v>1</v>
      </c>
      <c r="C151" s="34">
        <f ca="1">IF(B151=0,"",COUNTIF($B$2:B151,"&gt;0"))</f>
        <v>150</v>
      </c>
      <c r="D151" s="34">
        <f t="shared" ca="1" si="2"/>
        <v>0</v>
      </c>
    </row>
    <row r="152" spans="1:4" x14ac:dyDescent="0.4">
      <c r="A152" s="79">
        <f>'Trial Balance Dump'!B156</f>
        <v>0</v>
      </c>
      <c r="B152" s="34" cm="1">
        <f t="array" aca="1" ref="B152" ca="1">IFERROR(SEARCH(INDIRECT(CELL("address")),A152),0)</f>
        <v>1</v>
      </c>
      <c r="C152" s="34">
        <f ca="1">IF(B152=0,"",COUNTIF($B$2:B152,"&gt;0"))</f>
        <v>151</v>
      </c>
      <c r="D152" s="34">
        <f t="shared" ca="1" si="2"/>
        <v>0</v>
      </c>
    </row>
    <row r="153" spans="1:4" x14ac:dyDescent="0.4">
      <c r="A153" s="79">
        <f>'Trial Balance Dump'!B157</f>
        <v>0</v>
      </c>
      <c r="B153" s="34" cm="1">
        <f t="array" aca="1" ref="B153" ca="1">IFERROR(SEARCH(INDIRECT(CELL("address")),A153),0)</f>
        <v>1</v>
      </c>
      <c r="C153" s="34">
        <f ca="1">IF(B153=0,"",COUNTIF($B$2:B153,"&gt;0"))</f>
        <v>152</v>
      </c>
      <c r="D153" s="34">
        <f t="shared" ca="1" si="2"/>
        <v>0</v>
      </c>
    </row>
    <row r="154" spans="1:4" x14ac:dyDescent="0.4">
      <c r="A154" s="79">
        <f>'Trial Balance Dump'!B158</f>
        <v>0</v>
      </c>
      <c r="B154" s="34" cm="1">
        <f t="array" aca="1" ref="B154" ca="1">IFERROR(SEARCH(INDIRECT(CELL("address")),A154),0)</f>
        <v>1</v>
      </c>
      <c r="C154" s="34">
        <f ca="1">IF(B154=0,"",COUNTIF($B$2:B154,"&gt;0"))</f>
        <v>153</v>
      </c>
      <c r="D154" s="34">
        <f t="shared" ca="1" si="2"/>
        <v>0</v>
      </c>
    </row>
    <row r="155" spans="1:4" x14ac:dyDescent="0.4">
      <c r="A155" s="79">
        <f>'Trial Balance Dump'!B159</f>
        <v>0</v>
      </c>
      <c r="B155" s="34" cm="1">
        <f t="array" aca="1" ref="B155" ca="1">IFERROR(SEARCH(INDIRECT(CELL("address")),A155),0)</f>
        <v>1</v>
      </c>
      <c r="C155" s="34">
        <f ca="1">IF(B155=0,"",COUNTIF($B$2:B155,"&gt;0"))</f>
        <v>154</v>
      </c>
      <c r="D155" s="34">
        <f t="shared" ca="1" si="2"/>
        <v>0</v>
      </c>
    </row>
    <row r="156" spans="1:4" x14ac:dyDescent="0.4">
      <c r="A156" s="79">
        <f>'Trial Balance Dump'!B160</f>
        <v>0</v>
      </c>
      <c r="B156" s="34" cm="1">
        <f t="array" aca="1" ref="B156" ca="1">IFERROR(SEARCH(INDIRECT(CELL("address")),A156),0)</f>
        <v>1</v>
      </c>
      <c r="C156" s="34">
        <f ca="1">IF(B156=0,"",COUNTIF($B$2:B156,"&gt;0"))</f>
        <v>155</v>
      </c>
      <c r="D156" s="34">
        <f t="shared" ca="1" si="2"/>
        <v>0</v>
      </c>
    </row>
    <row r="157" spans="1:4" x14ac:dyDescent="0.4">
      <c r="A157" s="79">
        <f>'Trial Balance Dump'!B161</f>
        <v>0</v>
      </c>
      <c r="B157" s="34" cm="1">
        <f t="array" aca="1" ref="B157" ca="1">IFERROR(SEARCH(INDIRECT(CELL("address")),A157),0)</f>
        <v>1</v>
      </c>
      <c r="C157" s="34">
        <f ca="1">IF(B157=0,"",COUNTIF($B$2:B157,"&gt;0"))</f>
        <v>156</v>
      </c>
      <c r="D157" s="34">
        <f t="shared" ca="1" si="2"/>
        <v>0</v>
      </c>
    </row>
    <row r="158" spans="1:4" x14ac:dyDescent="0.4">
      <c r="A158" s="79">
        <f>'Trial Balance Dump'!B162</f>
        <v>0</v>
      </c>
      <c r="B158" s="34" cm="1">
        <f t="array" aca="1" ref="B158" ca="1">IFERROR(SEARCH(INDIRECT(CELL("address")),A158),0)</f>
        <v>1</v>
      </c>
      <c r="C158" s="34">
        <f ca="1">IF(B158=0,"",COUNTIF($B$2:B158,"&gt;0"))</f>
        <v>157</v>
      </c>
      <c r="D158" s="34">
        <f t="shared" ca="1" si="2"/>
        <v>0</v>
      </c>
    </row>
    <row r="159" spans="1:4" x14ac:dyDescent="0.4">
      <c r="A159" s="79">
        <f>'Trial Balance Dump'!B163</f>
        <v>0</v>
      </c>
      <c r="B159" s="34" cm="1">
        <f t="array" aca="1" ref="B159" ca="1">IFERROR(SEARCH(INDIRECT(CELL("address")),A159),0)</f>
        <v>1</v>
      </c>
      <c r="C159" s="34">
        <f ca="1">IF(B159=0,"",COUNTIF($B$2:B159,"&gt;0"))</f>
        <v>158</v>
      </c>
      <c r="D159" s="34">
        <f t="shared" ca="1" si="2"/>
        <v>0</v>
      </c>
    </row>
    <row r="160" spans="1:4" x14ac:dyDescent="0.4">
      <c r="A160" s="79">
        <f>'Trial Balance Dump'!B164</f>
        <v>0</v>
      </c>
      <c r="B160" s="34" cm="1">
        <f t="array" aca="1" ref="B160" ca="1">IFERROR(SEARCH(INDIRECT(CELL("address")),A160),0)</f>
        <v>1</v>
      </c>
      <c r="C160" s="34">
        <f ca="1">IF(B160=0,"",COUNTIF($B$2:B160,"&gt;0"))</f>
        <v>159</v>
      </c>
      <c r="D160" s="34">
        <f t="shared" ca="1" si="2"/>
        <v>0</v>
      </c>
    </row>
    <row r="161" spans="1:4" x14ac:dyDescent="0.4">
      <c r="A161" s="79">
        <f>'Trial Balance Dump'!B165</f>
        <v>0</v>
      </c>
      <c r="B161" s="34" cm="1">
        <f t="array" aca="1" ref="B161" ca="1">IFERROR(SEARCH(INDIRECT(CELL("address")),A161),0)</f>
        <v>1</v>
      </c>
      <c r="C161" s="34">
        <f ca="1">IF(B161=0,"",COUNTIF($B$2:B161,"&gt;0"))</f>
        <v>160</v>
      </c>
      <c r="D161" s="34">
        <f t="shared" ca="1" si="2"/>
        <v>0</v>
      </c>
    </row>
    <row r="162" spans="1:4" x14ac:dyDescent="0.4">
      <c r="A162" s="79">
        <f>'Trial Balance Dump'!B166</f>
        <v>0</v>
      </c>
      <c r="B162" s="34" cm="1">
        <f t="array" aca="1" ref="B162" ca="1">IFERROR(SEARCH(INDIRECT(CELL("address")),A162),0)</f>
        <v>1</v>
      </c>
      <c r="C162" s="34">
        <f ca="1">IF(B162=0,"",COUNTIF($B$2:B162,"&gt;0"))</f>
        <v>161</v>
      </c>
      <c r="D162" s="34">
        <f t="shared" ca="1" si="2"/>
        <v>0</v>
      </c>
    </row>
    <row r="163" spans="1:4" x14ac:dyDescent="0.4">
      <c r="A163" s="79">
        <f>'Trial Balance Dump'!B167</f>
        <v>0</v>
      </c>
      <c r="B163" s="34" cm="1">
        <f t="array" aca="1" ref="B163" ca="1">IFERROR(SEARCH(INDIRECT(CELL("address")),A163),0)</f>
        <v>1</v>
      </c>
      <c r="C163" s="34">
        <f ca="1">IF(B163=0,"",COUNTIF($B$2:B163,"&gt;0"))</f>
        <v>162</v>
      </c>
      <c r="D163" s="34">
        <f t="shared" ca="1" si="2"/>
        <v>0</v>
      </c>
    </row>
    <row r="164" spans="1:4" x14ac:dyDescent="0.4">
      <c r="A164" s="79">
        <f>'Trial Balance Dump'!B168</f>
        <v>0</v>
      </c>
      <c r="B164" s="34" cm="1">
        <f t="array" aca="1" ref="B164" ca="1">IFERROR(SEARCH(INDIRECT(CELL("address")),A164),0)</f>
        <v>1</v>
      </c>
      <c r="C164" s="34">
        <f ca="1">IF(B164=0,"",COUNTIF($B$2:B164,"&gt;0"))</f>
        <v>163</v>
      </c>
      <c r="D164" s="34">
        <f t="shared" ca="1" si="2"/>
        <v>0</v>
      </c>
    </row>
    <row r="165" spans="1:4" x14ac:dyDescent="0.4">
      <c r="A165" s="79">
        <f>'Trial Balance Dump'!B169</f>
        <v>0</v>
      </c>
      <c r="B165" s="34" cm="1">
        <f t="array" aca="1" ref="B165" ca="1">IFERROR(SEARCH(INDIRECT(CELL("address")),A165),0)</f>
        <v>1</v>
      </c>
      <c r="C165" s="34">
        <f ca="1">IF(B165=0,"",COUNTIF($B$2:B165,"&gt;0"))</f>
        <v>164</v>
      </c>
      <c r="D165" s="34">
        <f t="shared" ca="1" si="2"/>
        <v>0</v>
      </c>
    </row>
    <row r="166" spans="1:4" x14ac:dyDescent="0.4">
      <c r="A166" s="79">
        <f>'Trial Balance Dump'!B170</f>
        <v>0</v>
      </c>
      <c r="B166" s="34" cm="1">
        <f t="array" aca="1" ref="B166" ca="1">IFERROR(SEARCH(INDIRECT(CELL("address")),A166),0)</f>
        <v>1</v>
      </c>
      <c r="C166" s="34">
        <f ca="1">IF(B166=0,"",COUNTIF($B$2:B166,"&gt;0"))</f>
        <v>165</v>
      </c>
      <c r="D166" s="34">
        <f t="shared" ca="1" si="2"/>
        <v>0</v>
      </c>
    </row>
    <row r="167" spans="1:4" x14ac:dyDescent="0.4">
      <c r="A167" s="79">
        <f>'Trial Balance Dump'!B171</f>
        <v>0</v>
      </c>
      <c r="B167" s="34" cm="1">
        <f t="array" aca="1" ref="B167" ca="1">IFERROR(SEARCH(INDIRECT(CELL("address")),A167),0)</f>
        <v>1</v>
      </c>
      <c r="C167" s="34">
        <f ca="1">IF(B167=0,"",COUNTIF($B$2:B167,"&gt;0"))</f>
        <v>166</v>
      </c>
      <c r="D167" s="34">
        <f t="shared" ca="1" si="2"/>
        <v>0</v>
      </c>
    </row>
    <row r="168" spans="1:4" x14ac:dyDescent="0.4">
      <c r="A168" s="79">
        <f>'Trial Balance Dump'!B172</f>
        <v>0</v>
      </c>
      <c r="B168" s="34" cm="1">
        <f t="array" aca="1" ref="B168" ca="1">IFERROR(SEARCH(INDIRECT(CELL("address")),A168),0)</f>
        <v>1</v>
      </c>
      <c r="C168" s="34">
        <f ca="1">IF(B168=0,"",COUNTIF($B$2:B168,"&gt;0"))</f>
        <v>167</v>
      </c>
      <c r="D168" s="34">
        <f t="shared" ca="1" si="2"/>
        <v>0</v>
      </c>
    </row>
    <row r="169" spans="1:4" x14ac:dyDescent="0.4">
      <c r="A169" s="79">
        <f>'Trial Balance Dump'!B173</f>
        <v>0</v>
      </c>
      <c r="B169" s="34" cm="1">
        <f t="array" aca="1" ref="B169" ca="1">IFERROR(SEARCH(INDIRECT(CELL("address")),A169),0)</f>
        <v>1</v>
      </c>
      <c r="C169" s="34">
        <f ca="1">IF(B169=0,"",COUNTIF($B$2:B169,"&gt;0"))</f>
        <v>168</v>
      </c>
      <c r="D169" s="34">
        <f t="shared" ca="1" si="2"/>
        <v>0</v>
      </c>
    </row>
    <row r="170" spans="1:4" x14ac:dyDescent="0.4">
      <c r="A170" s="79">
        <f>'Trial Balance Dump'!B174</f>
        <v>0</v>
      </c>
      <c r="B170" s="34" cm="1">
        <f t="array" aca="1" ref="B170" ca="1">IFERROR(SEARCH(INDIRECT(CELL("address")),A170),0)</f>
        <v>1</v>
      </c>
      <c r="C170" s="34">
        <f ca="1">IF(B170=0,"",COUNTIF($B$2:B170,"&gt;0"))</f>
        <v>169</v>
      </c>
      <c r="D170" s="34">
        <f t="shared" ca="1" si="2"/>
        <v>0</v>
      </c>
    </row>
    <row r="171" spans="1:4" x14ac:dyDescent="0.4">
      <c r="A171" s="79">
        <f>'Trial Balance Dump'!B175</f>
        <v>0</v>
      </c>
      <c r="B171" s="34" cm="1">
        <f t="array" aca="1" ref="B171" ca="1">IFERROR(SEARCH(INDIRECT(CELL("address")),A171),0)</f>
        <v>1</v>
      </c>
      <c r="C171" s="34">
        <f ca="1">IF(B171=0,"",COUNTIF($B$2:B171,"&gt;0"))</f>
        <v>170</v>
      </c>
      <c r="D171" s="34">
        <f t="shared" ca="1" si="2"/>
        <v>0</v>
      </c>
    </row>
    <row r="172" spans="1:4" x14ac:dyDescent="0.4">
      <c r="A172" s="79">
        <f>'Trial Balance Dump'!B176</f>
        <v>0</v>
      </c>
      <c r="B172" s="34" cm="1">
        <f t="array" aca="1" ref="B172" ca="1">IFERROR(SEARCH(INDIRECT(CELL("address")),A172),0)</f>
        <v>1</v>
      </c>
      <c r="C172" s="34">
        <f ca="1">IF(B172=0,"",COUNTIF($B$2:B172,"&gt;0"))</f>
        <v>171</v>
      </c>
      <c r="D172" s="34">
        <f t="shared" ca="1" si="2"/>
        <v>0</v>
      </c>
    </row>
    <row r="173" spans="1:4" x14ac:dyDescent="0.4">
      <c r="A173" s="79">
        <f>'Trial Balance Dump'!B177</f>
        <v>0</v>
      </c>
      <c r="B173" s="34" cm="1">
        <f t="array" aca="1" ref="B173" ca="1">IFERROR(SEARCH(INDIRECT(CELL("address")),A173),0)</f>
        <v>1</v>
      </c>
      <c r="C173" s="34">
        <f ca="1">IF(B173=0,"",COUNTIF($B$2:B173,"&gt;0"))</f>
        <v>172</v>
      </c>
      <c r="D173" s="34">
        <f t="shared" ca="1" si="2"/>
        <v>0</v>
      </c>
    </row>
    <row r="174" spans="1:4" x14ac:dyDescent="0.4">
      <c r="A174" s="79">
        <f>'Trial Balance Dump'!B178</f>
        <v>0</v>
      </c>
      <c r="B174" s="34" cm="1">
        <f t="array" aca="1" ref="B174" ca="1">IFERROR(SEARCH(INDIRECT(CELL("address")),A174),0)</f>
        <v>1</v>
      </c>
      <c r="C174" s="34">
        <f ca="1">IF(B174=0,"",COUNTIF($B$2:B174,"&gt;0"))</f>
        <v>173</v>
      </c>
      <c r="D174" s="34">
        <f t="shared" ca="1" si="2"/>
        <v>0</v>
      </c>
    </row>
    <row r="175" spans="1:4" x14ac:dyDescent="0.4">
      <c r="A175" s="79">
        <f>'Trial Balance Dump'!B179</f>
        <v>0</v>
      </c>
      <c r="B175" s="34" cm="1">
        <f t="array" aca="1" ref="B175" ca="1">IFERROR(SEARCH(INDIRECT(CELL("address")),A175),0)</f>
        <v>1</v>
      </c>
      <c r="C175" s="34">
        <f ca="1">IF(B175=0,"",COUNTIF($B$2:B175,"&gt;0"))</f>
        <v>174</v>
      </c>
      <c r="D175" s="34">
        <f t="shared" ca="1" si="2"/>
        <v>0</v>
      </c>
    </row>
    <row r="176" spans="1:4" x14ac:dyDescent="0.4">
      <c r="A176" s="79">
        <f>'Trial Balance Dump'!B180</f>
        <v>0</v>
      </c>
      <c r="B176" s="34" cm="1">
        <f t="array" aca="1" ref="B176" ca="1">IFERROR(SEARCH(INDIRECT(CELL("address")),A176),0)</f>
        <v>1</v>
      </c>
      <c r="C176" s="34">
        <f ca="1">IF(B176=0,"",COUNTIF($B$2:B176,"&gt;0"))</f>
        <v>175</v>
      </c>
      <c r="D176" s="34">
        <f t="shared" ca="1" si="2"/>
        <v>0</v>
      </c>
    </row>
    <row r="177" spans="1:4" x14ac:dyDescent="0.4">
      <c r="A177" s="79">
        <f>'Trial Balance Dump'!B181</f>
        <v>0</v>
      </c>
      <c r="B177" s="34" cm="1">
        <f t="array" aca="1" ref="B177" ca="1">IFERROR(SEARCH(INDIRECT(CELL("address")),A177),0)</f>
        <v>1</v>
      </c>
      <c r="C177" s="34">
        <f ca="1">IF(B177=0,"",COUNTIF($B$2:B177,"&gt;0"))</f>
        <v>176</v>
      </c>
      <c r="D177" s="34">
        <f t="shared" ca="1" si="2"/>
        <v>0</v>
      </c>
    </row>
    <row r="178" spans="1:4" x14ac:dyDescent="0.4">
      <c r="A178" s="79">
        <f>'Trial Balance Dump'!B182</f>
        <v>0</v>
      </c>
      <c r="B178" s="34" cm="1">
        <f t="array" aca="1" ref="B178" ca="1">IFERROR(SEARCH(INDIRECT(CELL("address")),A178),0)</f>
        <v>1</v>
      </c>
      <c r="C178" s="34">
        <f ca="1">IF(B178=0,"",COUNTIF($B$2:B178,"&gt;0"))</f>
        <v>177</v>
      </c>
      <c r="D178" s="34">
        <f t="shared" ca="1" si="2"/>
        <v>0</v>
      </c>
    </row>
    <row r="179" spans="1:4" x14ac:dyDescent="0.4">
      <c r="A179" s="79">
        <f>'Trial Balance Dump'!B183</f>
        <v>0</v>
      </c>
      <c r="B179" s="34" cm="1">
        <f t="array" aca="1" ref="B179" ca="1">IFERROR(SEARCH(INDIRECT(CELL("address")),A179),0)</f>
        <v>1</v>
      </c>
      <c r="C179" s="34">
        <f ca="1">IF(B179=0,"",COUNTIF($B$2:B179,"&gt;0"))</f>
        <v>178</v>
      </c>
      <c r="D179" s="34">
        <f t="shared" ca="1" si="2"/>
        <v>0</v>
      </c>
    </row>
    <row r="180" spans="1:4" x14ac:dyDescent="0.4">
      <c r="A180" s="79">
        <f>'Trial Balance Dump'!B184</f>
        <v>0</v>
      </c>
      <c r="B180" s="34" cm="1">
        <f t="array" aca="1" ref="B180" ca="1">IFERROR(SEARCH(INDIRECT(CELL("address")),A180),0)</f>
        <v>1</v>
      </c>
      <c r="C180" s="34">
        <f ca="1">IF(B180=0,"",COUNTIF($B$2:B180,"&gt;0"))</f>
        <v>179</v>
      </c>
      <c r="D180" s="34">
        <f t="shared" ca="1" si="2"/>
        <v>0</v>
      </c>
    </row>
    <row r="181" spans="1:4" x14ac:dyDescent="0.4">
      <c r="A181" s="79">
        <f>'Trial Balance Dump'!B185</f>
        <v>0</v>
      </c>
      <c r="B181" s="34" cm="1">
        <f t="array" aca="1" ref="B181" ca="1">IFERROR(SEARCH(INDIRECT(CELL("address")),A181),0)</f>
        <v>1</v>
      </c>
      <c r="C181" s="34">
        <f ca="1">IF(B181=0,"",COUNTIF($B$2:B181,"&gt;0"))</f>
        <v>180</v>
      </c>
      <c r="D181" s="34">
        <f t="shared" ca="1" si="2"/>
        <v>0</v>
      </c>
    </row>
    <row r="182" spans="1:4" x14ac:dyDescent="0.4">
      <c r="A182" s="79">
        <f>'Trial Balance Dump'!B186</f>
        <v>0</v>
      </c>
      <c r="B182" s="34" cm="1">
        <f t="array" aca="1" ref="B182" ca="1">IFERROR(SEARCH(INDIRECT(CELL("address")),A182),0)</f>
        <v>1</v>
      </c>
      <c r="C182" s="34">
        <f ca="1">IF(B182=0,"",COUNTIF($B$2:B182,"&gt;0"))</f>
        <v>181</v>
      </c>
      <c r="D182" s="34">
        <f t="shared" ca="1" si="2"/>
        <v>0</v>
      </c>
    </row>
    <row r="183" spans="1:4" x14ac:dyDescent="0.4">
      <c r="A183" s="79">
        <f>'Trial Balance Dump'!B187</f>
        <v>0</v>
      </c>
      <c r="B183" s="34" cm="1">
        <f t="array" aca="1" ref="B183" ca="1">IFERROR(SEARCH(INDIRECT(CELL("address")),A183),0)</f>
        <v>1</v>
      </c>
      <c r="C183" s="34">
        <f ca="1">IF(B183=0,"",COUNTIF($B$2:B183,"&gt;0"))</f>
        <v>182</v>
      </c>
      <c r="D183" s="34">
        <f t="shared" ca="1" si="2"/>
        <v>0</v>
      </c>
    </row>
    <row r="184" spans="1:4" x14ac:dyDescent="0.4">
      <c r="A184" s="79">
        <f>'Trial Balance Dump'!B188</f>
        <v>0</v>
      </c>
      <c r="B184" s="34" cm="1">
        <f t="array" aca="1" ref="B184" ca="1">IFERROR(SEARCH(INDIRECT(CELL("address")),A184),0)</f>
        <v>1</v>
      </c>
      <c r="C184" s="34">
        <f ca="1">IF(B184=0,"",COUNTIF($B$2:B184,"&gt;0"))</f>
        <v>183</v>
      </c>
      <c r="D184" s="34">
        <f t="shared" ca="1" si="2"/>
        <v>0</v>
      </c>
    </row>
    <row r="185" spans="1:4" x14ac:dyDescent="0.4">
      <c r="A185" s="79">
        <f>'Trial Balance Dump'!B189</f>
        <v>0</v>
      </c>
      <c r="B185" s="34" cm="1">
        <f t="array" aca="1" ref="B185" ca="1">IFERROR(SEARCH(INDIRECT(CELL("address")),A185),0)</f>
        <v>1</v>
      </c>
      <c r="C185" s="34">
        <f ca="1">IF(B185=0,"",COUNTIF($B$2:B185,"&gt;0"))</f>
        <v>184</v>
      </c>
      <c r="D185" s="34">
        <f t="shared" ca="1" si="2"/>
        <v>0</v>
      </c>
    </row>
    <row r="186" spans="1:4" x14ac:dyDescent="0.4">
      <c r="A186" s="79">
        <f>'Trial Balance Dump'!B190</f>
        <v>0</v>
      </c>
      <c r="B186" s="34" cm="1">
        <f t="array" aca="1" ref="B186" ca="1">IFERROR(SEARCH(INDIRECT(CELL("address")),A186),0)</f>
        <v>1</v>
      </c>
      <c r="C186" s="34">
        <f ca="1">IF(B186=0,"",COUNTIF($B$2:B186,"&gt;0"))</f>
        <v>185</v>
      </c>
      <c r="D186" s="34">
        <f t="shared" ca="1" si="2"/>
        <v>0</v>
      </c>
    </row>
    <row r="187" spans="1:4" x14ac:dyDescent="0.4">
      <c r="A187" s="79">
        <f>'Trial Balance Dump'!B191</f>
        <v>0</v>
      </c>
      <c r="B187" s="34" cm="1">
        <f t="array" aca="1" ref="B187" ca="1">IFERROR(SEARCH(INDIRECT(CELL("address")),A187),0)</f>
        <v>1</v>
      </c>
      <c r="C187" s="34">
        <f ca="1">IF(B187=0,"",COUNTIF($B$2:B187,"&gt;0"))</f>
        <v>186</v>
      </c>
      <c r="D187" s="34">
        <f t="shared" ca="1" si="2"/>
        <v>0</v>
      </c>
    </row>
    <row r="188" spans="1:4" x14ac:dyDescent="0.4">
      <c r="A188" s="79">
        <f>'Trial Balance Dump'!B192</f>
        <v>0</v>
      </c>
      <c r="B188" s="34" cm="1">
        <f t="array" aca="1" ref="B188" ca="1">IFERROR(SEARCH(INDIRECT(CELL("address")),A188),0)</f>
        <v>1</v>
      </c>
      <c r="C188" s="34">
        <f ca="1">IF(B188=0,"",COUNTIF($B$2:B188,"&gt;0"))</f>
        <v>187</v>
      </c>
      <c r="D188" s="34">
        <f t="shared" ca="1" si="2"/>
        <v>0</v>
      </c>
    </row>
    <row r="189" spans="1:4" x14ac:dyDescent="0.4">
      <c r="A189" s="79">
        <f>'Trial Balance Dump'!B193</f>
        <v>0</v>
      </c>
      <c r="B189" s="34" cm="1">
        <f t="array" aca="1" ref="B189" ca="1">IFERROR(SEARCH(INDIRECT(CELL("address")),A189),0)</f>
        <v>1</v>
      </c>
      <c r="C189" s="34">
        <f ca="1">IF(B189=0,"",COUNTIF($B$2:B189,"&gt;0"))</f>
        <v>188</v>
      </c>
      <c r="D189" s="34">
        <f t="shared" ca="1" si="2"/>
        <v>0</v>
      </c>
    </row>
    <row r="190" spans="1:4" x14ac:dyDescent="0.4">
      <c r="A190" s="79">
        <f>'Trial Balance Dump'!B194</f>
        <v>0</v>
      </c>
      <c r="B190" s="34" cm="1">
        <f t="array" aca="1" ref="B190" ca="1">IFERROR(SEARCH(INDIRECT(CELL("address")),A190),0)</f>
        <v>1</v>
      </c>
      <c r="C190" s="34">
        <f ca="1">IF(B190=0,"",COUNTIF($B$2:B190,"&gt;0"))</f>
        <v>189</v>
      </c>
      <c r="D190" s="34">
        <f t="shared" ca="1" si="2"/>
        <v>0</v>
      </c>
    </row>
    <row r="191" spans="1:4" x14ac:dyDescent="0.4">
      <c r="A191" s="79">
        <f>'Trial Balance Dump'!B195</f>
        <v>0</v>
      </c>
      <c r="B191" s="34" cm="1">
        <f t="array" aca="1" ref="B191" ca="1">IFERROR(SEARCH(INDIRECT(CELL("address")),A191),0)</f>
        <v>1</v>
      </c>
      <c r="C191" s="34">
        <f ca="1">IF(B191=0,"",COUNTIF($B$2:B191,"&gt;0"))</f>
        <v>190</v>
      </c>
      <c r="D191" s="34">
        <f t="shared" ca="1" si="2"/>
        <v>0</v>
      </c>
    </row>
    <row r="192" spans="1:4" x14ac:dyDescent="0.4">
      <c r="A192" s="79">
        <f>'Trial Balance Dump'!B196</f>
        <v>0</v>
      </c>
      <c r="B192" s="34" cm="1">
        <f t="array" aca="1" ref="B192" ca="1">IFERROR(SEARCH(INDIRECT(CELL("address")),A192),0)</f>
        <v>1</v>
      </c>
      <c r="C192" s="34">
        <f ca="1">IF(B192=0,"",COUNTIF($B$2:B192,"&gt;0"))</f>
        <v>191</v>
      </c>
      <c r="D192" s="34">
        <f t="shared" ca="1" si="2"/>
        <v>0</v>
      </c>
    </row>
    <row r="193" spans="1:4" x14ac:dyDescent="0.4">
      <c r="A193" s="79">
        <f>'Trial Balance Dump'!B197</f>
        <v>0</v>
      </c>
      <c r="B193" s="34" cm="1">
        <f t="array" aca="1" ref="B193" ca="1">IFERROR(SEARCH(INDIRECT(CELL("address")),A193),0)</f>
        <v>1</v>
      </c>
      <c r="C193" s="34">
        <f ca="1">IF(B193=0,"",COUNTIF($B$2:B193,"&gt;0"))</f>
        <v>192</v>
      </c>
      <c r="D193" s="34">
        <f t="shared" ca="1" si="2"/>
        <v>0</v>
      </c>
    </row>
    <row r="194" spans="1:4" x14ac:dyDescent="0.4">
      <c r="A194" s="79">
        <f>'Trial Balance Dump'!B198</f>
        <v>0</v>
      </c>
      <c r="B194" s="34" cm="1">
        <f t="array" aca="1" ref="B194" ca="1">IFERROR(SEARCH(INDIRECT(CELL("address")),A194),0)</f>
        <v>1</v>
      </c>
      <c r="C194" s="34">
        <f ca="1">IF(B194=0,"",COUNTIF($B$2:B194,"&gt;0"))</f>
        <v>193</v>
      </c>
      <c r="D194" s="34">
        <f t="shared" ca="1" si="2"/>
        <v>0</v>
      </c>
    </row>
    <row r="195" spans="1:4" x14ac:dyDescent="0.4">
      <c r="A195" s="79">
        <f>'Trial Balance Dump'!B199</f>
        <v>0</v>
      </c>
      <c r="B195" s="34" cm="1">
        <f t="array" aca="1" ref="B195" ca="1">IFERROR(SEARCH(INDIRECT(CELL("address")),A195),0)</f>
        <v>1</v>
      </c>
      <c r="C195" s="34">
        <f ca="1">IF(B195=0,"",COUNTIF($B$2:B195,"&gt;0"))</f>
        <v>194</v>
      </c>
      <c r="D195" s="34">
        <f t="shared" ref="D195:D258" ca="1" si="3">IFERROR(INDEX(A:A,MATCH(ROW(B194),C:C,0)),"")</f>
        <v>0</v>
      </c>
    </row>
    <row r="196" spans="1:4" x14ac:dyDescent="0.4">
      <c r="A196" s="79">
        <f>'Trial Balance Dump'!B200</f>
        <v>0</v>
      </c>
      <c r="B196" s="34" cm="1">
        <f t="array" aca="1" ref="B196" ca="1">IFERROR(SEARCH(INDIRECT(CELL("address")),A196),0)</f>
        <v>1</v>
      </c>
      <c r="C196" s="34">
        <f ca="1">IF(B196=0,"",COUNTIF($B$2:B196,"&gt;0"))</f>
        <v>195</v>
      </c>
      <c r="D196" s="34">
        <f t="shared" ca="1" si="3"/>
        <v>0</v>
      </c>
    </row>
    <row r="197" spans="1:4" x14ac:dyDescent="0.4">
      <c r="A197" s="79">
        <f>'Trial Balance Dump'!B201</f>
        <v>0</v>
      </c>
      <c r="B197" s="34" cm="1">
        <f t="array" aca="1" ref="B197" ca="1">IFERROR(SEARCH(INDIRECT(CELL("address")),A197),0)</f>
        <v>1</v>
      </c>
      <c r="C197" s="34">
        <f ca="1">IF(B197=0,"",COUNTIF($B$2:B197,"&gt;0"))</f>
        <v>196</v>
      </c>
      <c r="D197" s="34">
        <f t="shared" ca="1" si="3"/>
        <v>0</v>
      </c>
    </row>
    <row r="198" spans="1:4" x14ac:dyDescent="0.4">
      <c r="A198" s="79">
        <f>'Trial Balance Dump'!B202</f>
        <v>0</v>
      </c>
      <c r="B198" s="34" cm="1">
        <f t="array" aca="1" ref="B198" ca="1">IFERROR(SEARCH(INDIRECT(CELL("address")),A198),0)</f>
        <v>1</v>
      </c>
      <c r="C198" s="34">
        <f ca="1">IF(B198=0,"",COUNTIF($B$2:B198,"&gt;0"))</f>
        <v>197</v>
      </c>
      <c r="D198" s="34">
        <f t="shared" ca="1" si="3"/>
        <v>0</v>
      </c>
    </row>
    <row r="199" spans="1:4" x14ac:dyDescent="0.4">
      <c r="A199" s="79">
        <f>'Trial Balance Dump'!B203</f>
        <v>0</v>
      </c>
      <c r="B199" s="34" cm="1">
        <f t="array" aca="1" ref="B199" ca="1">IFERROR(SEARCH(INDIRECT(CELL("address")),A199),0)</f>
        <v>1</v>
      </c>
      <c r="C199" s="34">
        <f ca="1">IF(B199=0,"",COUNTIF($B$2:B199,"&gt;0"))</f>
        <v>198</v>
      </c>
      <c r="D199" s="34">
        <f t="shared" ca="1" si="3"/>
        <v>0</v>
      </c>
    </row>
    <row r="200" spans="1:4" x14ac:dyDescent="0.4">
      <c r="A200" s="79">
        <f>'Trial Balance Dump'!B204</f>
        <v>0</v>
      </c>
      <c r="B200" s="34" cm="1">
        <f t="array" aca="1" ref="B200" ca="1">IFERROR(SEARCH(INDIRECT(CELL("address")),A200),0)</f>
        <v>1</v>
      </c>
      <c r="C200" s="34">
        <f ca="1">IF(B200=0,"",COUNTIF($B$2:B200,"&gt;0"))</f>
        <v>199</v>
      </c>
      <c r="D200" s="34">
        <f t="shared" ca="1" si="3"/>
        <v>0</v>
      </c>
    </row>
    <row r="201" spans="1:4" x14ac:dyDescent="0.4">
      <c r="A201" s="79">
        <f>'Trial Balance Dump'!B205</f>
        <v>0</v>
      </c>
      <c r="B201" s="34" cm="1">
        <f t="array" aca="1" ref="B201" ca="1">IFERROR(SEARCH(INDIRECT(CELL("address")),A201),0)</f>
        <v>1</v>
      </c>
      <c r="C201" s="34">
        <f ca="1">IF(B201=0,"",COUNTIF($B$2:B201,"&gt;0"))</f>
        <v>200</v>
      </c>
      <c r="D201" s="34">
        <f t="shared" ca="1" si="3"/>
        <v>0</v>
      </c>
    </row>
    <row r="202" spans="1:4" x14ac:dyDescent="0.4">
      <c r="A202" s="79">
        <f>'Trial Balance Dump'!B206</f>
        <v>0</v>
      </c>
      <c r="B202" s="34" cm="1">
        <f t="array" aca="1" ref="B202" ca="1">IFERROR(SEARCH(INDIRECT(CELL("address")),A202),0)</f>
        <v>1</v>
      </c>
      <c r="C202" s="34">
        <f ca="1">IF(B202=0,"",COUNTIF($B$2:B202,"&gt;0"))</f>
        <v>201</v>
      </c>
      <c r="D202" s="34">
        <f t="shared" ca="1" si="3"/>
        <v>0</v>
      </c>
    </row>
    <row r="203" spans="1:4" x14ac:dyDescent="0.4">
      <c r="A203" s="79">
        <f>'Trial Balance Dump'!B207</f>
        <v>0</v>
      </c>
      <c r="B203" s="34" cm="1">
        <f t="array" aca="1" ref="B203" ca="1">IFERROR(SEARCH(INDIRECT(CELL("address")),A203),0)</f>
        <v>1</v>
      </c>
      <c r="C203" s="34">
        <f ca="1">IF(B203=0,"",COUNTIF($B$2:B203,"&gt;0"))</f>
        <v>202</v>
      </c>
      <c r="D203" s="34">
        <f t="shared" ca="1" si="3"/>
        <v>0</v>
      </c>
    </row>
    <row r="204" spans="1:4" x14ac:dyDescent="0.4">
      <c r="A204" s="79">
        <f>'Trial Balance Dump'!B208</f>
        <v>0</v>
      </c>
      <c r="B204" s="34" cm="1">
        <f t="array" aca="1" ref="B204" ca="1">IFERROR(SEARCH(INDIRECT(CELL("address")),A204),0)</f>
        <v>1</v>
      </c>
      <c r="C204" s="34">
        <f ca="1">IF(B204=0,"",COUNTIF($B$2:B204,"&gt;0"))</f>
        <v>203</v>
      </c>
      <c r="D204" s="34">
        <f t="shared" ca="1" si="3"/>
        <v>0</v>
      </c>
    </row>
    <row r="205" spans="1:4" x14ac:dyDescent="0.4">
      <c r="A205" s="79">
        <f>'Trial Balance Dump'!B209</f>
        <v>0</v>
      </c>
      <c r="B205" s="34" cm="1">
        <f t="array" aca="1" ref="B205" ca="1">IFERROR(SEARCH(INDIRECT(CELL("address")),A205),0)</f>
        <v>1</v>
      </c>
      <c r="C205" s="34">
        <f ca="1">IF(B205=0,"",COUNTIF($B$2:B205,"&gt;0"))</f>
        <v>204</v>
      </c>
      <c r="D205" s="34">
        <f t="shared" ca="1" si="3"/>
        <v>0</v>
      </c>
    </row>
    <row r="206" spans="1:4" x14ac:dyDescent="0.4">
      <c r="A206" s="79">
        <f>'Trial Balance Dump'!B210</f>
        <v>0</v>
      </c>
      <c r="B206" s="34" cm="1">
        <f t="array" aca="1" ref="B206" ca="1">IFERROR(SEARCH(INDIRECT(CELL("address")),A206),0)</f>
        <v>1</v>
      </c>
      <c r="C206" s="34">
        <f ca="1">IF(B206=0,"",COUNTIF($B$2:B206,"&gt;0"))</f>
        <v>205</v>
      </c>
      <c r="D206" s="34">
        <f t="shared" ca="1" si="3"/>
        <v>0</v>
      </c>
    </row>
    <row r="207" spans="1:4" x14ac:dyDescent="0.4">
      <c r="A207" s="79">
        <f>'Trial Balance Dump'!B211</f>
        <v>0</v>
      </c>
      <c r="B207" s="34" cm="1">
        <f t="array" aca="1" ref="B207" ca="1">IFERROR(SEARCH(INDIRECT(CELL("address")),A207),0)</f>
        <v>1</v>
      </c>
      <c r="C207" s="34">
        <f ca="1">IF(B207=0,"",COUNTIF($B$2:B207,"&gt;0"))</f>
        <v>206</v>
      </c>
      <c r="D207" s="34">
        <f t="shared" ca="1" si="3"/>
        <v>0</v>
      </c>
    </row>
    <row r="208" spans="1:4" x14ac:dyDescent="0.4">
      <c r="A208" s="79">
        <f>'Trial Balance Dump'!B212</f>
        <v>0</v>
      </c>
      <c r="B208" s="34" cm="1">
        <f t="array" aca="1" ref="B208" ca="1">IFERROR(SEARCH(INDIRECT(CELL("address")),A208),0)</f>
        <v>1</v>
      </c>
      <c r="C208" s="34">
        <f ca="1">IF(B208=0,"",COUNTIF($B$2:B208,"&gt;0"))</f>
        <v>207</v>
      </c>
      <c r="D208" s="34">
        <f t="shared" ca="1" si="3"/>
        <v>0</v>
      </c>
    </row>
    <row r="209" spans="1:4" x14ac:dyDescent="0.4">
      <c r="A209" s="79">
        <f>'Trial Balance Dump'!B213</f>
        <v>0</v>
      </c>
      <c r="B209" s="34" cm="1">
        <f t="array" aca="1" ref="B209" ca="1">IFERROR(SEARCH(INDIRECT(CELL("address")),A209),0)</f>
        <v>1</v>
      </c>
      <c r="C209" s="34">
        <f ca="1">IF(B209=0,"",COUNTIF($B$2:B209,"&gt;0"))</f>
        <v>208</v>
      </c>
      <c r="D209" s="34">
        <f t="shared" ca="1" si="3"/>
        <v>0</v>
      </c>
    </row>
    <row r="210" spans="1:4" x14ac:dyDescent="0.4">
      <c r="A210" s="79">
        <f>'Trial Balance Dump'!B214</f>
        <v>0</v>
      </c>
      <c r="B210" s="34" cm="1">
        <f t="array" aca="1" ref="B210" ca="1">IFERROR(SEARCH(INDIRECT(CELL("address")),A210),0)</f>
        <v>1</v>
      </c>
      <c r="C210" s="34">
        <f ca="1">IF(B210=0,"",COUNTIF($B$2:B210,"&gt;0"))</f>
        <v>209</v>
      </c>
      <c r="D210" s="34">
        <f t="shared" ca="1" si="3"/>
        <v>0</v>
      </c>
    </row>
    <row r="211" spans="1:4" x14ac:dyDescent="0.4">
      <c r="A211" s="79">
        <f>'Trial Balance Dump'!B215</f>
        <v>0</v>
      </c>
      <c r="B211" s="34" cm="1">
        <f t="array" aca="1" ref="B211" ca="1">IFERROR(SEARCH(INDIRECT(CELL("address")),A211),0)</f>
        <v>1</v>
      </c>
      <c r="C211" s="34">
        <f ca="1">IF(B211=0,"",COUNTIF($B$2:B211,"&gt;0"))</f>
        <v>210</v>
      </c>
      <c r="D211" s="34">
        <f t="shared" ca="1" si="3"/>
        <v>0</v>
      </c>
    </row>
    <row r="212" spans="1:4" x14ac:dyDescent="0.4">
      <c r="A212" s="79">
        <f>'Trial Balance Dump'!B216</f>
        <v>0</v>
      </c>
      <c r="B212" s="34" cm="1">
        <f t="array" aca="1" ref="B212" ca="1">IFERROR(SEARCH(INDIRECT(CELL("address")),A212),0)</f>
        <v>1</v>
      </c>
      <c r="C212" s="34">
        <f ca="1">IF(B212=0,"",COUNTIF($B$2:B212,"&gt;0"))</f>
        <v>211</v>
      </c>
      <c r="D212" s="34">
        <f t="shared" ca="1" si="3"/>
        <v>0</v>
      </c>
    </row>
    <row r="213" spans="1:4" x14ac:dyDescent="0.4">
      <c r="A213" s="79">
        <f>'Trial Balance Dump'!B217</f>
        <v>0</v>
      </c>
      <c r="B213" s="34" cm="1">
        <f t="array" aca="1" ref="B213" ca="1">IFERROR(SEARCH(INDIRECT(CELL("address")),A213),0)</f>
        <v>1</v>
      </c>
      <c r="C213" s="34">
        <f ca="1">IF(B213=0,"",COUNTIF($B$2:B213,"&gt;0"))</f>
        <v>212</v>
      </c>
      <c r="D213" s="34">
        <f t="shared" ca="1" si="3"/>
        <v>0</v>
      </c>
    </row>
    <row r="214" spans="1:4" x14ac:dyDescent="0.4">
      <c r="A214" s="79">
        <f>'Trial Balance Dump'!B218</f>
        <v>0</v>
      </c>
      <c r="B214" s="34" cm="1">
        <f t="array" aca="1" ref="B214" ca="1">IFERROR(SEARCH(INDIRECT(CELL("address")),A214),0)</f>
        <v>1</v>
      </c>
      <c r="C214" s="34">
        <f ca="1">IF(B214=0,"",COUNTIF($B$2:B214,"&gt;0"))</f>
        <v>213</v>
      </c>
      <c r="D214" s="34">
        <f t="shared" ca="1" si="3"/>
        <v>0</v>
      </c>
    </row>
    <row r="215" spans="1:4" x14ac:dyDescent="0.4">
      <c r="A215" s="79">
        <f>'Trial Balance Dump'!B219</f>
        <v>0</v>
      </c>
      <c r="B215" s="34" cm="1">
        <f t="array" aca="1" ref="B215" ca="1">IFERROR(SEARCH(INDIRECT(CELL("address")),A215),0)</f>
        <v>1</v>
      </c>
      <c r="C215" s="34">
        <f ca="1">IF(B215=0,"",COUNTIF($B$2:B215,"&gt;0"))</f>
        <v>214</v>
      </c>
      <c r="D215" s="34">
        <f t="shared" ca="1" si="3"/>
        <v>0</v>
      </c>
    </row>
    <row r="216" spans="1:4" x14ac:dyDescent="0.4">
      <c r="A216" s="79">
        <f>'Trial Balance Dump'!B220</f>
        <v>0</v>
      </c>
      <c r="B216" s="34" cm="1">
        <f t="array" aca="1" ref="B216" ca="1">IFERROR(SEARCH(INDIRECT(CELL("address")),A216),0)</f>
        <v>1</v>
      </c>
      <c r="C216" s="34">
        <f ca="1">IF(B216=0,"",COUNTIF($B$2:B216,"&gt;0"))</f>
        <v>215</v>
      </c>
      <c r="D216" s="34">
        <f t="shared" ca="1" si="3"/>
        <v>0</v>
      </c>
    </row>
    <row r="217" spans="1:4" x14ac:dyDescent="0.4">
      <c r="A217" s="79">
        <f>'Trial Balance Dump'!B221</f>
        <v>0</v>
      </c>
      <c r="B217" s="34" cm="1">
        <f t="array" aca="1" ref="B217" ca="1">IFERROR(SEARCH(INDIRECT(CELL("address")),A217),0)</f>
        <v>1</v>
      </c>
      <c r="C217" s="34">
        <f ca="1">IF(B217=0,"",COUNTIF($B$2:B217,"&gt;0"))</f>
        <v>216</v>
      </c>
      <c r="D217" s="34">
        <f t="shared" ca="1" si="3"/>
        <v>0</v>
      </c>
    </row>
    <row r="218" spans="1:4" x14ac:dyDescent="0.4">
      <c r="A218" s="79">
        <f>'Trial Balance Dump'!B222</f>
        <v>0</v>
      </c>
      <c r="B218" s="34" cm="1">
        <f t="array" aca="1" ref="B218" ca="1">IFERROR(SEARCH(INDIRECT(CELL("address")),A218),0)</f>
        <v>1</v>
      </c>
      <c r="C218" s="34">
        <f ca="1">IF(B218=0,"",COUNTIF($B$2:B218,"&gt;0"))</f>
        <v>217</v>
      </c>
      <c r="D218" s="34">
        <f t="shared" ca="1" si="3"/>
        <v>0</v>
      </c>
    </row>
    <row r="219" spans="1:4" x14ac:dyDescent="0.4">
      <c r="A219" s="79">
        <f>'Trial Balance Dump'!B223</f>
        <v>0</v>
      </c>
      <c r="B219" s="34" cm="1">
        <f t="array" aca="1" ref="B219" ca="1">IFERROR(SEARCH(INDIRECT(CELL("address")),A219),0)</f>
        <v>1</v>
      </c>
      <c r="C219" s="34">
        <f ca="1">IF(B219=0,"",COUNTIF($B$2:B219,"&gt;0"))</f>
        <v>218</v>
      </c>
      <c r="D219" s="34">
        <f t="shared" ca="1" si="3"/>
        <v>0</v>
      </c>
    </row>
    <row r="220" spans="1:4" x14ac:dyDescent="0.4">
      <c r="A220" s="79">
        <f>'Trial Balance Dump'!B224</f>
        <v>0</v>
      </c>
      <c r="B220" s="34" cm="1">
        <f t="array" aca="1" ref="B220" ca="1">IFERROR(SEARCH(INDIRECT(CELL("address")),A220),0)</f>
        <v>1</v>
      </c>
      <c r="C220" s="34">
        <f ca="1">IF(B220=0,"",COUNTIF($B$2:B220,"&gt;0"))</f>
        <v>219</v>
      </c>
      <c r="D220" s="34">
        <f t="shared" ca="1" si="3"/>
        <v>0</v>
      </c>
    </row>
    <row r="221" spans="1:4" x14ac:dyDescent="0.4">
      <c r="A221" s="79">
        <f>'Trial Balance Dump'!B225</f>
        <v>0</v>
      </c>
      <c r="B221" s="34" cm="1">
        <f t="array" aca="1" ref="B221" ca="1">IFERROR(SEARCH(INDIRECT(CELL("address")),A221),0)</f>
        <v>1</v>
      </c>
      <c r="C221" s="34">
        <f ca="1">IF(B221=0,"",COUNTIF($B$2:B221,"&gt;0"))</f>
        <v>220</v>
      </c>
      <c r="D221" s="34">
        <f t="shared" ca="1" si="3"/>
        <v>0</v>
      </c>
    </row>
    <row r="222" spans="1:4" x14ac:dyDescent="0.4">
      <c r="A222" s="79">
        <f>'Trial Balance Dump'!B226</f>
        <v>0</v>
      </c>
      <c r="B222" s="34" cm="1">
        <f t="array" aca="1" ref="B222" ca="1">IFERROR(SEARCH(INDIRECT(CELL("address")),A222),0)</f>
        <v>1</v>
      </c>
      <c r="C222" s="34">
        <f ca="1">IF(B222=0,"",COUNTIF($B$2:B222,"&gt;0"))</f>
        <v>221</v>
      </c>
      <c r="D222" s="34">
        <f t="shared" ca="1" si="3"/>
        <v>0</v>
      </c>
    </row>
    <row r="223" spans="1:4" x14ac:dyDescent="0.4">
      <c r="A223" s="79">
        <f>'Trial Balance Dump'!B227</f>
        <v>0</v>
      </c>
      <c r="B223" s="34" cm="1">
        <f t="array" aca="1" ref="B223" ca="1">IFERROR(SEARCH(INDIRECT(CELL("address")),A223),0)</f>
        <v>1</v>
      </c>
      <c r="C223" s="34">
        <f ca="1">IF(B223=0,"",COUNTIF($B$2:B223,"&gt;0"))</f>
        <v>222</v>
      </c>
      <c r="D223" s="34">
        <f t="shared" ca="1" si="3"/>
        <v>0</v>
      </c>
    </row>
    <row r="224" spans="1:4" x14ac:dyDescent="0.4">
      <c r="A224" s="79">
        <f>'Trial Balance Dump'!B228</f>
        <v>0</v>
      </c>
      <c r="B224" s="34" cm="1">
        <f t="array" aca="1" ref="B224" ca="1">IFERROR(SEARCH(INDIRECT(CELL("address")),A224),0)</f>
        <v>1</v>
      </c>
      <c r="C224" s="34">
        <f ca="1">IF(B224=0,"",COUNTIF($B$2:B224,"&gt;0"))</f>
        <v>223</v>
      </c>
      <c r="D224" s="34">
        <f t="shared" ca="1" si="3"/>
        <v>0</v>
      </c>
    </row>
    <row r="225" spans="1:4" x14ac:dyDescent="0.4">
      <c r="A225" s="79">
        <f>'Trial Balance Dump'!B229</f>
        <v>0</v>
      </c>
      <c r="B225" s="34" cm="1">
        <f t="array" aca="1" ref="B225" ca="1">IFERROR(SEARCH(INDIRECT(CELL("address")),A225),0)</f>
        <v>1</v>
      </c>
      <c r="C225" s="34">
        <f ca="1">IF(B225=0,"",COUNTIF($B$2:B225,"&gt;0"))</f>
        <v>224</v>
      </c>
      <c r="D225" s="34">
        <f t="shared" ca="1" si="3"/>
        <v>0</v>
      </c>
    </row>
    <row r="226" spans="1:4" x14ac:dyDescent="0.4">
      <c r="A226" s="79">
        <f>'Trial Balance Dump'!B230</f>
        <v>0</v>
      </c>
      <c r="B226" s="34" cm="1">
        <f t="array" aca="1" ref="B226" ca="1">IFERROR(SEARCH(INDIRECT(CELL("address")),A226),0)</f>
        <v>1</v>
      </c>
      <c r="C226" s="34">
        <f ca="1">IF(B226=0,"",COUNTIF($B$2:B226,"&gt;0"))</f>
        <v>225</v>
      </c>
      <c r="D226" s="34">
        <f t="shared" ca="1" si="3"/>
        <v>0</v>
      </c>
    </row>
    <row r="227" spans="1:4" x14ac:dyDescent="0.4">
      <c r="A227" s="79">
        <f>'Trial Balance Dump'!B231</f>
        <v>0</v>
      </c>
      <c r="B227" s="34" cm="1">
        <f t="array" aca="1" ref="B227" ca="1">IFERROR(SEARCH(INDIRECT(CELL("address")),A227),0)</f>
        <v>1</v>
      </c>
      <c r="C227" s="34">
        <f ca="1">IF(B227=0,"",COUNTIF($B$2:B227,"&gt;0"))</f>
        <v>226</v>
      </c>
      <c r="D227" s="34">
        <f t="shared" ca="1" si="3"/>
        <v>0</v>
      </c>
    </row>
    <row r="228" spans="1:4" x14ac:dyDescent="0.4">
      <c r="A228" s="79">
        <f>'Trial Balance Dump'!B232</f>
        <v>0</v>
      </c>
      <c r="B228" s="34" cm="1">
        <f t="array" aca="1" ref="B228" ca="1">IFERROR(SEARCH(INDIRECT(CELL("address")),A228),0)</f>
        <v>1</v>
      </c>
      <c r="C228" s="34">
        <f ca="1">IF(B228=0,"",COUNTIF($B$2:B228,"&gt;0"))</f>
        <v>227</v>
      </c>
      <c r="D228" s="34">
        <f t="shared" ca="1" si="3"/>
        <v>0</v>
      </c>
    </row>
    <row r="229" spans="1:4" x14ac:dyDescent="0.4">
      <c r="A229" s="79">
        <f>'Trial Balance Dump'!B233</f>
        <v>0</v>
      </c>
      <c r="B229" s="34" cm="1">
        <f t="array" aca="1" ref="B229" ca="1">IFERROR(SEARCH(INDIRECT(CELL("address")),A229),0)</f>
        <v>1</v>
      </c>
      <c r="C229" s="34">
        <f ca="1">IF(B229=0,"",COUNTIF($B$2:B229,"&gt;0"))</f>
        <v>228</v>
      </c>
      <c r="D229" s="34">
        <f t="shared" ca="1" si="3"/>
        <v>0</v>
      </c>
    </row>
    <row r="230" spans="1:4" x14ac:dyDescent="0.4">
      <c r="A230" s="79">
        <f>'Trial Balance Dump'!B234</f>
        <v>0</v>
      </c>
      <c r="B230" s="34" cm="1">
        <f t="array" aca="1" ref="B230" ca="1">IFERROR(SEARCH(INDIRECT(CELL("address")),A230),0)</f>
        <v>1</v>
      </c>
      <c r="C230" s="34">
        <f ca="1">IF(B230=0,"",COUNTIF($B$2:B230,"&gt;0"))</f>
        <v>229</v>
      </c>
      <c r="D230" s="34">
        <f t="shared" ca="1" si="3"/>
        <v>0</v>
      </c>
    </row>
    <row r="231" spans="1:4" x14ac:dyDescent="0.4">
      <c r="A231" s="79">
        <f>'Trial Balance Dump'!B235</f>
        <v>0</v>
      </c>
      <c r="B231" s="34" cm="1">
        <f t="array" aca="1" ref="B231" ca="1">IFERROR(SEARCH(INDIRECT(CELL("address")),A231),0)</f>
        <v>1</v>
      </c>
      <c r="C231" s="34">
        <f ca="1">IF(B231=0,"",COUNTIF($B$2:B231,"&gt;0"))</f>
        <v>230</v>
      </c>
      <c r="D231" s="34">
        <f t="shared" ca="1" si="3"/>
        <v>0</v>
      </c>
    </row>
    <row r="232" spans="1:4" x14ac:dyDescent="0.4">
      <c r="A232" s="79">
        <f>'Trial Balance Dump'!B236</f>
        <v>0</v>
      </c>
      <c r="B232" s="34" cm="1">
        <f t="array" aca="1" ref="B232" ca="1">IFERROR(SEARCH(INDIRECT(CELL("address")),A232),0)</f>
        <v>1</v>
      </c>
      <c r="C232" s="34">
        <f ca="1">IF(B232=0,"",COUNTIF($B$2:B232,"&gt;0"))</f>
        <v>231</v>
      </c>
      <c r="D232" s="34">
        <f t="shared" ca="1" si="3"/>
        <v>0</v>
      </c>
    </row>
    <row r="233" spans="1:4" x14ac:dyDescent="0.4">
      <c r="A233" s="79">
        <f>'Trial Balance Dump'!B237</f>
        <v>0</v>
      </c>
      <c r="B233" s="34" cm="1">
        <f t="array" aca="1" ref="B233" ca="1">IFERROR(SEARCH(INDIRECT(CELL("address")),A233),0)</f>
        <v>1</v>
      </c>
      <c r="C233" s="34">
        <f ca="1">IF(B233=0,"",COUNTIF($B$2:B233,"&gt;0"))</f>
        <v>232</v>
      </c>
      <c r="D233" s="34">
        <f t="shared" ca="1" si="3"/>
        <v>0</v>
      </c>
    </row>
    <row r="234" spans="1:4" x14ac:dyDescent="0.4">
      <c r="A234" s="79">
        <f>'Trial Balance Dump'!B238</f>
        <v>0</v>
      </c>
      <c r="B234" s="34" cm="1">
        <f t="array" aca="1" ref="B234" ca="1">IFERROR(SEARCH(INDIRECT(CELL("address")),A234),0)</f>
        <v>1</v>
      </c>
      <c r="C234" s="34">
        <f ca="1">IF(B234=0,"",COUNTIF($B$2:B234,"&gt;0"))</f>
        <v>233</v>
      </c>
      <c r="D234" s="34">
        <f t="shared" ca="1" si="3"/>
        <v>0</v>
      </c>
    </row>
    <row r="235" spans="1:4" x14ac:dyDescent="0.4">
      <c r="A235" s="79">
        <f>'Trial Balance Dump'!B239</f>
        <v>0</v>
      </c>
      <c r="B235" s="34" cm="1">
        <f t="array" aca="1" ref="B235" ca="1">IFERROR(SEARCH(INDIRECT(CELL("address")),A235),0)</f>
        <v>1</v>
      </c>
      <c r="C235" s="34">
        <f ca="1">IF(B235=0,"",COUNTIF($B$2:B235,"&gt;0"))</f>
        <v>234</v>
      </c>
      <c r="D235" s="34">
        <f t="shared" ca="1" si="3"/>
        <v>0</v>
      </c>
    </row>
    <row r="236" spans="1:4" x14ac:dyDescent="0.4">
      <c r="A236" s="79">
        <f>'Trial Balance Dump'!B240</f>
        <v>0</v>
      </c>
      <c r="B236" s="34" cm="1">
        <f t="array" aca="1" ref="B236" ca="1">IFERROR(SEARCH(INDIRECT(CELL("address")),A236),0)</f>
        <v>1</v>
      </c>
      <c r="C236" s="34">
        <f ca="1">IF(B236=0,"",COUNTIF($B$2:B236,"&gt;0"))</f>
        <v>235</v>
      </c>
      <c r="D236" s="34">
        <f t="shared" ca="1" si="3"/>
        <v>0</v>
      </c>
    </row>
    <row r="237" spans="1:4" x14ac:dyDescent="0.4">
      <c r="A237" s="79">
        <f>'Trial Balance Dump'!B241</f>
        <v>0</v>
      </c>
      <c r="B237" s="34" cm="1">
        <f t="array" aca="1" ref="B237" ca="1">IFERROR(SEARCH(INDIRECT(CELL("address")),A237),0)</f>
        <v>1</v>
      </c>
      <c r="C237" s="34">
        <f ca="1">IF(B237=0,"",COUNTIF($B$2:B237,"&gt;0"))</f>
        <v>236</v>
      </c>
      <c r="D237" s="34">
        <f t="shared" ca="1" si="3"/>
        <v>0</v>
      </c>
    </row>
    <row r="238" spans="1:4" x14ac:dyDescent="0.4">
      <c r="A238" s="79">
        <f>'Trial Balance Dump'!B242</f>
        <v>0</v>
      </c>
      <c r="B238" s="34" cm="1">
        <f t="array" aca="1" ref="B238" ca="1">IFERROR(SEARCH(INDIRECT(CELL("address")),A238),0)</f>
        <v>1</v>
      </c>
      <c r="C238" s="34">
        <f ca="1">IF(B238=0,"",COUNTIF($B$2:B238,"&gt;0"))</f>
        <v>237</v>
      </c>
      <c r="D238" s="34">
        <f t="shared" ca="1" si="3"/>
        <v>0</v>
      </c>
    </row>
    <row r="239" spans="1:4" x14ac:dyDescent="0.4">
      <c r="A239" s="79">
        <f>'Trial Balance Dump'!B243</f>
        <v>0</v>
      </c>
      <c r="B239" s="34" cm="1">
        <f t="array" aca="1" ref="B239" ca="1">IFERROR(SEARCH(INDIRECT(CELL("address")),A239),0)</f>
        <v>1</v>
      </c>
      <c r="C239" s="34">
        <f ca="1">IF(B239=0,"",COUNTIF($B$2:B239,"&gt;0"))</f>
        <v>238</v>
      </c>
      <c r="D239" s="34">
        <f t="shared" ca="1" si="3"/>
        <v>0</v>
      </c>
    </row>
    <row r="240" spans="1:4" x14ac:dyDescent="0.4">
      <c r="A240" s="79">
        <f>'Trial Balance Dump'!B244</f>
        <v>0</v>
      </c>
      <c r="B240" s="34" cm="1">
        <f t="array" aca="1" ref="B240" ca="1">IFERROR(SEARCH(INDIRECT(CELL("address")),A240),0)</f>
        <v>1</v>
      </c>
      <c r="C240" s="34">
        <f ca="1">IF(B240=0,"",COUNTIF($B$2:B240,"&gt;0"))</f>
        <v>239</v>
      </c>
      <c r="D240" s="34">
        <f t="shared" ca="1" si="3"/>
        <v>0</v>
      </c>
    </row>
    <row r="241" spans="1:4" x14ac:dyDescent="0.4">
      <c r="A241" s="79">
        <f>'Trial Balance Dump'!B245</f>
        <v>0</v>
      </c>
      <c r="B241" s="34" cm="1">
        <f t="array" aca="1" ref="B241" ca="1">IFERROR(SEARCH(INDIRECT(CELL("address")),A241),0)</f>
        <v>1</v>
      </c>
      <c r="C241" s="34">
        <f ca="1">IF(B241=0,"",COUNTIF($B$2:B241,"&gt;0"))</f>
        <v>240</v>
      </c>
      <c r="D241" s="34">
        <f t="shared" ca="1" si="3"/>
        <v>0</v>
      </c>
    </row>
    <row r="242" spans="1:4" x14ac:dyDescent="0.4">
      <c r="A242" s="79">
        <f>'Trial Balance Dump'!B246</f>
        <v>0</v>
      </c>
      <c r="B242" s="34" cm="1">
        <f t="array" aca="1" ref="B242" ca="1">IFERROR(SEARCH(INDIRECT(CELL("address")),A242),0)</f>
        <v>1</v>
      </c>
      <c r="C242" s="34">
        <f ca="1">IF(B242=0,"",COUNTIF($B$2:B242,"&gt;0"))</f>
        <v>241</v>
      </c>
      <c r="D242" s="34">
        <f t="shared" ca="1" si="3"/>
        <v>0</v>
      </c>
    </row>
    <row r="243" spans="1:4" x14ac:dyDescent="0.4">
      <c r="A243" s="79">
        <f>'Trial Balance Dump'!B247</f>
        <v>0</v>
      </c>
      <c r="B243" s="34" cm="1">
        <f t="array" aca="1" ref="B243" ca="1">IFERROR(SEARCH(INDIRECT(CELL("address")),A243),0)</f>
        <v>1</v>
      </c>
      <c r="C243" s="34">
        <f ca="1">IF(B243=0,"",COUNTIF($B$2:B243,"&gt;0"))</f>
        <v>242</v>
      </c>
      <c r="D243" s="34">
        <f t="shared" ca="1" si="3"/>
        <v>0</v>
      </c>
    </row>
    <row r="244" spans="1:4" x14ac:dyDescent="0.4">
      <c r="A244" s="79">
        <f>'Trial Balance Dump'!B248</f>
        <v>0</v>
      </c>
      <c r="B244" s="34" cm="1">
        <f t="array" aca="1" ref="B244" ca="1">IFERROR(SEARCH(INDIRECT(CELL("address")),A244),0)</f>
        <v>1</v>
      </c>
      <c r="C244" s="34">
        <f ca="1">IF(B244=0,"",COUNTIF($B$2:B244,"&gt;0"))</f>
        <v>243</v>
      </c>
      <c r="D244" s="34">
        <f t="shared" ca="1" si="3"/>
        <v>0</v>
      </c>
    </row>
    <row r="245" spans="1:4" x14ac:dyDescent="0.4">
      <c r="A245" s="79">
        <f>'Trial Balance Dump'!B249</f>
        <v>0</v>
      </c>
      <c r="B245" s="34" cm="1">
        <f t="array" aca="1" ref="B245" ca="1">IFERROR(SEARCH(INDIRECT(CELL("address")),A245),0)</f>
        <v>1</v>
      </c>
      <c r="C245" s="34">
        <f ca="1">IF(B245=0,"",COUNTIF($B$2:B245,"&gt;0"))</f>
        <v>244</v>
      </c>
      <c r="D245" s="34">
        <f t="shared" ca="1" si="3"/>
        <v>0</v>
      </c>
    </row>
    <row r="246" spans="1:4" x14ac:dyDescent="0.4">
      <c r="A246" s="79">
        <f>'Trial Balance Dump'!B250</f>
        <v>0</v>
      </c>
      <c r="B246" s="34" cm="1">
        <f t="array" aca="1" ref="B246" ca="1">IFERROR(SEARCH(INDIRECT(CELL("address")),A246),0)</f>
        <v>1</v>
      </c>
      <c r="C246" s="34">
        <f ca="1">IF(B246=0,"",COUNTIF($B$2:B246,"&gt;0"))</f>
        <v>245</v>
      </c>
      <c r="D246" s="34">
        <f t="shared" ca="1" si="3"/>
        <v>0</v>
      </c>
    </row>
    <row r="247" spans="1:4" x14ac:dyDescent="0.4">
      <c r="A247" s="79">
        <f>'Trial Balance Dump'!B251</f>
        <v>0</v>
      </c>
      <c r="B247" s="34" cm="1">
        <f t="array" aca="1" ref="B247" ca="1">IFERROR(SEARCH(INDIRECT(CELL("address")),A247),0)</f>
        <v>1</v>
      </c>
      <c r="C247" s="34">
        <f ca="1">IF(B247=0,"",COUNTIF($B$2:B247,"&gt;0"))</f>
        <v>246</v>
      </c>
      <c r="D247" s="34">
        <f t="shared" ca="1" si="3"/>
        <v>0</v>
      </c>
    </row>
    <row r="248" spans="1:4" x14ac:dyDescent="0.4">
      <c r="A248" s="79">
        <f>'Trial Balance Dump'!B252</f>
        <v>0</v>
      </c>
      <c r="B248" s="34" cm="1">
        <f t="array" aca="1" ref="B248" ca="1">IFERROR(SEARCH(INDIRECT(CELL("address")),A248),0)</f>
        <v>1</v>
      </c>
      <c r="C248" s="34">
        <f ca="1">IF(B248=0,"",COUNTIF($B$2:B248,"&gt;0"))</f>
        <v>247</v>
      </c>
      <c r="D248" s="34">
        <f t="shared" ca="1" si="3"/>
        <v>0</v>
      </c>
    </row>
    <row r="249" spans="1:4" x14ac:dyDescent="0.4">
      <c r="A249" s="79">
        <f>'Trial Balance Dump'!B253</f>
        <v>0</v>
      </c>
      <c r="B249" s="34" cm="1">
        <f t="array" aca="1" ref="B249" ca="1">IFERROR(SEARCH(INDIRECT(CELL("address")),A249),0)</f>
        <v>1</v>
      </c>
      <c r="C249" s="34">
        <f ca="1">IF(B249=0,"",COUNTIF($B$2:B249,"&gt;0"))</f>
        <v>248</v>
      </c>
      <c r="D249" s="34">
        <f t="shared" ca="1" si="3"/>
        <v>0</v>
      </c>
    </row>
    <row r="250" spans="1:4" x14ac:dyDescent="0.4">
      <c r="A250" s="79">
        <f>'Trial Balance Dump'!B254</f>
        <v>0</v>
      </c>
      <c r="B250" s="34" cm="1">
        <f t="array" aca="1" ref="B250" ca="1">IFERROR(SEARCH(INDIRECT(CELL("address")),A250),0)</f>
        <v>1</v>
      </c>
      <c r="C250" s="34">
        <f ca="1">IF(B250=0,"",COUNTIF($B$2:B250,"&gt;0"))</f>
        <v>249</v>
      </c>
      <c r="D250" s="34">
        <f t="shared" ca="1" si="3"/>
        <v>0</v>
      </c>
    </row>
    <row r="251" spans="1:4" x14ac:dyDescent="0.4">
      <c r="A251" s="79">
        <f>'Trial Balance Dump'!B255</f>
        <v>0</v>
      </c>
      <c r="B251" s="34" cm="1">
        <f t="array" aca="1" ref="B251" ca="1">IFERROR(SEARCH(INDIRECT(CELL("address")),A251),0)</f>
        <v>1</v>
      </c>
      <c r="C251" s="34">
        <f ca="1">IF(B251=0,"",COUNTIF($B$2:B251,"&gt;0"))</f>
        <v>250</v>
      </c>
      <c r="D251" s="34">
        <f t="shared" ca="1" si="3"/>
        <v>0</v>
      </c>
    </row>
    <row r="252" spans="1:4" x14ac:dyDescent="0.4">
      <c r="A252" s="79">
        <f>'Trial Balance Dump'!B256</f>
        <v>0</v>
      </c>
      <c r="B252" s="34" cm="1">
        <f t="array" aca="1" ref="B252" ca="1">IFERROR(SEARCH(INDIRECT(CELL("address")),A252),0)</f>
        <v>1</v>
      </c>
      <c r="C252" s="34">
        <f ca="1">IF(B252=0,"",COUNTIF($B$2:B252,"&gt;0"))</f>
        <v>251</v>
      </c>
      <c r="D252" s="34">
        <f t="shared" ca="1" si="3"/>
        <v>0</v>
      </c>
    </row>
    <row r="253" spans="1:4" x14ac:dyDescent="0.4">
      <c r="A253" s="79">
        <f>'Trial Balance Dump'!B257</f>
        <v>0</v>
      </c>
      <c r="B253" s="34" cm="1">
        <f t="array" aca="1" ref="B253" ca="1">IFERROR(SEARCH(INDIRECT(CELL("address")),A253),0)</f>
        <v>1</v>
      </c>
      <c r="C253" s="34">
        <f ca="1">IF(B253=0,"",COUNTIF($B$2:B253,"&gt;0"))</f>
        <v>252</v>
      </c>
      <c r="D253" s="34">
        <f t="shared" ca="1" si="3"/>
        <v>0</v>
      </c>
    </row>
    <row r="254" spans="1:4" x14ac:dyDescent="0.4">
      <c r="A254" s="79">
        <f>'Trial Balance Dump'!B258</f>
        <v>0</v>
      </c>
      <c r="B254" s="34" cm="1">
        <f t="array" aca="1" ref="B254" ca="1">IFERROR(SEARCH(INDIRECT(CELL("address")),A254),0)</f>
        <v>1</v>
      </c>
      <c r="C254" s="34">
        <f ca="1">IF(B254=0,"",COUNTIF($B$2:B254,"&gt;0"))</f>
        <v>253</v>
      </c>
      <c r="D254" s="34">
        <f t="shared" ca="1" si="3"/>
        <v>0</v>
      </c>
    </row>
    <row r="255" spans="1:4" x14ac:dyDescent="0.4">
      <c r="A255" s="79">
        <f>'Trial Balance Dump'!B259</f>
        <v>0</v>
      </c>
      <c r="B255" s="34" cm="1">
        <f t="array" aca="1" ref="B255" ca="1">IFERROR(SEARCH(INDIRECT(CELL("address")),A255),0)</f>
        <v>1</v>
      </c>
      <c r="C255" s="34">
        <f ca="1">IF(B255=0,"",COUNTIF($B$2:B255,"&gt;0"))</f>
        <v>254</v>
      </c>
      <c r="D255" s="34">
        <f t="shared" ca="1" si="3"/>
        <v>0</v>
      </c>
    </row>
    <row r="256" spans="1:4" x14ac:dyDescent="0.4">
      <c r="A256" s="79">
        <f>'Trial Balance Dump'!B260</f>
        <v>0</v>
      </c>
      <c r="B256" s="34" cm="1">
        <f t="array" aca="1" ref="B256" ca="1">IFERROR(SEARCH(INDIRECT(CELL("address")),A256),0)</f>
        <v>1</v>
      </c>
      <c r="C256" s="34">
        <f ca="1">IF(B256=0,"",COUNTIF($B$2:B256,"&gt;0"))</f>
        <v>255</v>
      </c>
      <c r="D256" s="34">
        <f t="shared" ca="1" si="3"/>
        <v>0</v>
      </c>
    </row>
    <row r="257" spans="1:4" x14ac:dyDescent="0.4">
      <c r="A257" s="79">
        <f>'Trial Balance Dump'!B261</f>
        <v>0</v>
      </c>
      <c r="B257" s="34" cm="1">
        <f t="array" aca="1" ref="B257" ca="1">IFERROR(SEARCH(INDIRECT(CELL("address")),A257),0)</f>
        <v>1</v>
      </c>
      <c r="C257" s="34">
        <f ca="1">IF(B257=0,"",COUNTIF($B$2:B257,"&gt;0"))</f>
        <v>256</v>
      </c>
      <c r="D257" s="34">
        <f t="shared" ca="1" si="3"/>
        <v>0</v>
      </c>
    </row>
    <row r="258" spans="1:4" x14ac:dyDescent="0.4">
      <c r="A258" s="79">
        <f>'Trial Balance Dump'!B262</f>
        <v>0</v>
      </c>
      <c r="B258" s="34" cm="1">
        <f t="array" aca="1" ref="B258" ca="1">IFERROR(SEARCH(INDIRECT(CELL("address")),A258),0)</f>
        <v>1</v>
      </c>
      <c r="C258" s="34">
        <f ca="1">IF(B258=0,"",COUNTIF($B$2:B258,"&gt;0"))</f>
        <v>257</v>
      </c>
      <c r="D258" s="34">
        <f t="shared" ca="1" si="3"/>
        <v>0</v>
      </c>
    </row>
    <row r="259" spans="1:4" x14ac:dyDescent="0.4">
      <c r="A259" s="79">
        <f>'Trial Balance Dump'!B263</f>
        <v>0</v>
      </c>
      <c r="B259" s="34" cm="1">
        <f t="array" aca="1" ref="B259" ca="1">IFERROR(SEARCH(INDIRECT(CELL("address")),A259),0)</f>
        <v>1</v>
      </c>
      <c r="C259" s="34">
        <f ca="1">IF(B259=0,"",COUNTIF($B$2:B259,"&gt;0"))</f>
        <v>258</v>
      </c>
      <c r="D259" s="34">
        <f t="shared" ref="D259:D322" ca="1" si="4">IFERROR(INDEX(A:A,MATCH(ROW(B258),C:C,0)),"")</f>
        <v>0</v>
      </c>
    </row>
    <row r="260" spans="1:4" x14ac:dyDescent="0.4">
      <c r="A260" s="79">
        <f>'Trial Balance Dump'!B264</f>
        <v>0</v>
      </c>
      <c r="B260" s="34" cm="1">
        <f t="array" aca="1" ref="B260" ca="1">IFERROR(SEARCH(INDIRECT(CELL("address")),A260),0)</f>
        <v>1</v>
      </c>
      <c r="C260" s="34">
        <f ca="1">IF(B260=0,"",COUNTIF($B$2:B260,"&gt;0"))</f>
        <v>259</v>
      </c>
      <c r="D260" s="34">
        <f t="shared" ca="1" si="4"/>
        <v>0</v>
      </c>
    </row>
    <row r="261" spans="1:4" x14ac:dyDescent="0.4">
      <c r="A261" s="79">
        <f>'Trial Balance Dump'!B265</f>
        <v>0</v>
      </c>
      <c r="B261" s="34" cm="1">
        <f t="array" aca="1" ref="B261" ca="1">IFERROR(SEARCH(INDIRECT(CELL("address")),A261),0)</f>
        <v>1</v>
      </c>
      <c r="C261" s="34">
        <f ca="1">IF(B261=0,"",COUNTIF($B$2:B261,"&gt;0"))</f>
        <v>260</v>
      </c>
      <c r="D261" s="34">
        <f t="shared" ca="1" si="4"/>
        <v>0</v>
      </c>
    </row>
    <row r="262" spans="1:4" x14ac:dyDescent="0.4">
      <c r="A262" s="79">
        <f>'Trial Balance Dump'!B266</f>
        <v>0</v>
      </c>
      <c r="B262" s="34" cm="1">
        <f t="array" aca="1" ref="B262" ca="1">IFERROR(SEARCH(INDIRECT(CELL("address")),A262),0)</f>
        <v>1</v>
      </c>
      <c r="C262" s="34">
        <f ca="1">IF(B262=0,"",COUNTIF($B$2:B262,"&gt;0"))</f>
        <v>261</v>
      </c>
      <c r="D262" s="34">
        <f t="shared" ca="1" si="4"/>
        <v>0</v>
      </c>
    </row>
    <row r="263" spans="1:4" x14ac:dyDescent="0.4">
      <c r="A263" s="79">
        <f>'Trial Balance Dump'!B267</f>
        <v>0</v>
      </c>
      <c r="B263" s="34" cm="1">
        <f t="array" aca="1" ref="B263" ca="1">IFERROR(SEARCH(INDIRECT(CELL("address")),A263),0)</f>
        <v>1</v>
      </c>
      <c r="C263" s="34">
        <f ca="1">IF(B263=0,"",COUNTIF($B$2:B263,"&gt;0"))</f>
        <v>262</v>
      </c>
      <c r="D263" s="34">
        <f t="shared" ca="1" si="4"/>
        <v>0</v>
      </c>
    </row>
    <row r="264" spans="1:4" x14ac:dyDescent="0.4">
      <c r="A264" s="79">
        <f>'Trial Balance Dump'!B268</f>
        <v>0</v>
      </c>
      <c r="B264" s="34" cm="1">
        <f t="array" aca="1" ref="B264" ca="1">IFERROR(SEARCH(INDIRECT(CELL("address")),A264),0)</f>
        <v>1</v>
      </c>
      <c r="C264" s="34">
        <f ca="1">IF(B264=0,"",COUNTIF($B$2:B264,"&gt;0"))</f>
        <v>263</v>
      </c>
      <c r="D264" s="34">
        <f t="shared" ca="1" si="4"/>
        <v>0</v>
      </c>
    </row>
    <row r="265" spans="1:4" x14ac:dyDescent="0.4">
      <c r="A265" s="79">
        <f>'Trial Balance Dump'!B269</f>
        <v>0</v>
      </c>
      <c r="B265" s="34" cm="1">
        <f t="array" aca="1" ref="B265" ca="1">IFERROR(SEARCH(INDIRECT(CELL("address")),A265),0)</f>
        <v>1</v>
      </c>
      <c r="C265" s="34">
        <f ca="1">IF(B265=0,"",COUNTIF($B$2:B265,"&gt;0"))</f>
        <v>264</v>
      </c>
      <c r="D265" s="34">
        <f t="shared" ca="1" si="4"/>
        <v>0</v>
      </c>
    </row>
    <row r="266" spans="1:4" x14ac:dyDescent="0.4">
      <c r="A266" s="79">
        <f>'Trial Balance Dump'!B270</f>
        <v>0</v>
      </c>
      <c r="B266" s="34" cm="1">
        <f t="array" aca="1" ref="B266" ca="1">IFERROR(SEARCH(INDIRECT(CELL("address")),A266),0)</f>
        <v>1</v>
      </c>
      <c r="C266" s="34">
        <f ca="1">IF(B266=0,"",COUNTIF($B$2:B266,"&gt;0"))</f>
        <v>265</v>
      </c>
      <c r="D266" s="34">
        <f t="shared" ca="1" si="4"/>
        <v>0</v>
      </c>
    </row>
    <row r="267" spans="1:4" x14ac:dyDescent="0.4">
      <c r="A267" s="79">
        <f>'Trial Balance Dump'!B271</f>
        <v>0</v>
      </c>
      <c r="B267" s="34" cm="1">
        <f t="array" aca="1" ref="B267" ca="1">IFERROR(SEARCH(INDIRECT(CELL("address")),A267),0)</f>
        <v>1</v>
      </c>
      <c r="C267" s="34">
        <f ca="1">IF(B267=0,"",COUNTIF($B$2:B267,"&gt;0"))</f>
        <v>266</v>
      </c>
      <c r="D267" s="34">
        <f t="shared" ca="1" si="4"/>
        <v>0</v>
      </c>
    </row>
    <row r="268" spans="1:4" x14ac:dyDescent="0.4">
      <c r="A268" s="79">
        <f>'Trial Balance Dump'!B272</f>
        <v>0</v>
      </c>
      <c r="B268" s="34" cm="1">
        <f t="array" aca="1" ref="B268" ca="1">IFERROR(SEARCH(INDIRECT(CELL("address")),A268),0)</f>
        <v>1</v>
      </c>
      <c r="C268" s="34">
        <f ca="1">IF(B268=0,"",COUNTIF($B$2:B268,"&gt;0"))</f>
        <v>267</v>
      </c>
      <c r="D268" s="34">
        <f t="shared" ca="1" si="4"/>
        <v>0</v>
      </c>
    </row>
    <row r="269" spans="1:4" x14ac:dyDescent="0.4">
      <c r="A269" s="79">
        <f>'Trial Balance Dump'!B273</f>
        <v>0</v>
      </c>
      <c r="B269" s="34" cm="1">
        <f t="array" aca="1" ref="B269" ca="1">IFERROR(SEARCH(INDIRECT(CELL("address")),A269),0)</f>
        <v>1</v>
      </c>
      <c r="C269" s="34">
        <f ca="1">IF(B269=0,"",COUNTIF($B$2:B269,"&gt;0"))</f>
        <v>268</v>
      </c>
      <c r="D269" s="34">
        <f t="shared" ca="1" si="4"/>
        <v>0</v>
      </c>
    </row>
    <row r="270" spans="1:4" x14ac:dyDescent="0.4">
      <c r="A270" s="79">
        <f>'Trial Balance Dump'!B274</f>
        <v>0</v>
      </c>
      <c r="B270" s="34" cm="1">
        <f t="array" aca="1" ref="B270" ca="1">IFERROR(SEARCH(INDIRECT(CELL("address")),A270),0)</f>
        <v>1</v>
      </c>
      <c r="C270" s="34">
        <f ca="1">IF(B270=0,"",COUNTIF($B$2:B270,"&gt;0"))</f>
        <v>269</v>
      </c>
      <c r="D270" s="34">
        <f t="shared" ca="1" si="4"/>
        <v>0</v>
      </c>
    </row>
    <row r="271" spans="1:4" x14ac:dyDescent="0.4">
      <c r="A271" s="79">
        <f>'Trial Balance Dump'!B275</f>
        <v>0</v>
      </c>
      <c r="B271" s="34" cm="1">
        <f t="array" aca="1" ref="B271" ca="1">IFERROR(SEARCH(INDIRECT(CELL("address")),A271),0)</f>
        <v>1</v>
      </c>
      <c r="C271" s="34">
        <f ca="1">IF(B271=0,"",COUNTIF($B$2:B271,"&gt;0"))</f>
        <v>270</v>
      </c>
      <c r="D271" s="34">
        <f t="shared" ca="1" si="4"/>
        <v>0</v>
      </c>
    </row>
    <row r="272" spans="1:4" x14ac:dyDescent="0.4">
      <c r="A272" s="79">
        <f>'Trial Balance Dump'!B276</f>
        <v>0</v>
      </c>
      <c r="B272" s="34" cm="1">
        <f t="array" aca="1" ref="B272" ca="1">IFERROR(SEARCH(INDIRECT(CELL("address")),A272),0)</f>
        <v>1</v>
      </c>
      <c r="C272" s="34">
        <f ca="1">IF(B272=0,"",COUNTIF($B$2:B272,"&gt;0"))</f>
        <v>271</v>
      </c>
      <c r="D272" s="34">
        <f t="shared" ca="1" si="4"/>
        <v>0</v>
      </c>
    </row>
    <row r="273" spans="1:4" x14ac:dyDescent="0.4">
      <c r="A273" s="79">
        <f>'Trial Balance Dump'!B277</f>
        <v>0</v>
      </c>
      <c r="B273" s="34" cm="1">
        <f t="array" aca="1" ref="B273" ca="1">IFERROR(SEARCH(INDIRECT(CELL("address")),A273),0)</f>
        <v>1</v>
      </c>
      <c r="C273" s="34">
        <f ca="1">IF(B273=0,"",COUNTIF($B$2:B273,"&gt;0"))</f>
        <v>272</v>
      </c>
      <c r="D273" s="34">
        <f t="shared" ca="1" si="4"/>
        <v>0</v>
      </c>
    </row>
    <row r="274" spans="1:4" x14ac:dyDescent="0.4">
      <c r="A274" s="79">
        <f>'Trial Balance Dump'!B278</f>
        <v>0</v>
      </c>
      <c r="B274" s="34" cm="1">
        <f t="array" aca="1" ref="B274" ca="1">IFERROR(SEARCH(INDIRECT(CELL("address")),A274),0)</f>
        <v>1</v>
      </c>
      <c r="C274" s="34">
        <f ca="1">IF(B274=0,"",COUNTIF($B$2:B274,"&gt;0"))</f>
        <v>273</v>
      </c>
      <c r="D274" s="34">
        <f t="shared" ca="1" si="4"/>
        <v>0</v>
      </c>
    </row>
    <row r="275" spans="1:4" x14ac:dyDescent="0.4">
      <c r="A275" s="79">
        <f>'Trial Balance Dump'!B279</f>
        <v>0</v>
      </c>
      <c r="B275" s="34" cm="1">
        <f t="array" aca="1" ref="B275" ca="1">IFERROR(SEARCH(INDIRECT(CELL("address")),A275),0)</f>
        <v>1</v>
      </c>
      <c r="C275" s="34">
        <f ca="1">IF(B275=0,"",COUNTIF($B$2:B275,"&gt;0"))</f>
        <v>274</v>
      </c>
      <c r="D275" s="34">
        <f t="shared" ca="1" si="4"/>
        <v>0</v>
      </c>
    </row>
    <row r="276" spans="1:4" x14ac:dyDescent="0.4">
      <c r="A276" s="79">
        <f>'Trial Balance Dump'!B280</f>
        <v>0</v>
      </c>
      <c r="B276" s="34" cm="1">
        <f t="array" aca="1" ref="B276" ca="1">IFERROR(SEARCH(INDIRECT(CELL("address")),A276),0)</f>
        <v>1</v>
      </c>
      <c r="C276" s="34">
        <f ca="1">IF(B276=0,"",COUNTIF($B$2:B276,"&gt;0"))</f>
        <v>275</v>
      </c>
      <c r="D276" s="34">
        <f t="shared" ca="1" si="4"/>
        <v>0</v>
      </c>
    </row>
    <row r="277" spans="1:4" x14ac:dyDescent="0.4">
      <c r="A277" s="79">
        <f>'Trial Balance Dump'!B281</f>
        <v>0</v>
      </c>
      <c r="B277" s="34" cm="1">
        <f t="array" aca="1" ref="B277" ca="1">IFERROR(SEARCH(INDIRECT(CELL("address")),A277),0)</f>
        <v>1</v>
      </c>
      <c r="C277" s="34">
        <f ca="1">IF(B277=0,"",COUNTIF($B$2:B277,"&gt;0"))</f>
        <v>276</v>
      </c>
      <c r="D277" s="34">
        <f t="shared" ca="1" si="4"/>
        <v>0</v>
      </c>
    </row>
    <row r="278" spans="1:4" x14ac:dyDescent="0.4">
      <c r="A278" s="79">
        <f>'Trial Balance Dump'!B282</f>
        <v>0</v>
      </c>
      <c r="B278" s="34" cm="1">
        <f t="array" aca="1" ref="B278" ca="1">IFERROR(SEARCH(INDIRECT(CELL("address")),A278),0)</f>
        <v>1</v>
      </c>
      <c r="C278" s="34">
        <f ca="1">IF(B278=0,"",COUNTIF($B$2:B278,"&gt;0"))</f>
        <v>277</v>
      </c>
      <c r="D278" s="34">
        <f t="shared" ca="1" si="4"/>
        <v>0</v>
      </c>
    </row>
    <row r="279" spans="1:4" x14ac:dyDescent="0.4">
      <c r="A279" s="79">
        <f>'Trial Balance Dump'!B283</f>
        <v>0</v>
      </c>
      <c r="B279" s="34" cm="1">
        <f t="array" aca="1" ref="B279" ca="1">IFERROR(SEARCH(INDIRECT(CELL("address")),A279),0)</f>
        <v>1</v>
      </c>
      <c r="C279" s="34">
        <f ca="1">IF(B279=0,"",COUNTIF($B$2:B279,"&gt;0"))</f>
        <v>278</v>
      </c>
      <c r="D279" s="34">
        <f t="shared" ca="1" si="4"/>
        <v>0</v>
      </c>
    </row>
    <row r="280" spans="1:4" x14ac:dyDescent="0.4">
      <c r="A280" s="79">
        <f>'Trial Balance Dump'!B284</f>
        <v>0</v>
      </c>
      <c r="B280" s="34" cm="1">
        <f t="array" aca="1" ref="B280" ca="1">IFERROR(SEARCH(INDIRECT(CELL("address")),A280),0)</f>
        <v>1</v>
      </c>
      <c r="C280" s="34">
        <f ca="1">IF(B280=0,"",COUNTIF($B$2:B280,"&gt;0"))</f>
        <v>279</v>
      </c>
      <c r="D280" s="34">
        <f t="shared" ca="1" si="4"/>
        <v>0</v>
      </c>
    </row>
    <row r="281" spans="1:4" x14ac:dyDescent="0.4">
      <c r="A281" s="79">
        <f>'Trial Balance Dump'!B285</f>
        <v>0</v>
      </c>
      <c r="B281" s="34" cm="1">
        <f t="array" aca="1" ref="B281" ca="1">IFERROR(SEARCH(INDIRECT(CELL("address")),A281),0)</f>
        <v>1</v>
      </c>
      <c r="C281" s="34">
        <f ca="1">IF(B281=0,"",COUNTIF($B$2:B281,"&gt;0"))</f>
        <v>280</v>
      </c>
      <c r="D281" s="34">
        <f t="shared" ca="1" si="4"/>
        <v>0</v>
      </c>
    </row>
    <row r="282" spans="1:4" x14ac:dyDescent="0.4">
      <c r="A282" s="79">
        <f>'Trial Balance Dump'!B286</f>
        <v>0</v>
      </c>
      <c r="B282" s="34" cm="1">
        <f t="array" aca="1" ref="B282" ca="1">IFERROR(SEARCH(INDIRECT(CELL("address")),A282),0)</f>
        <v>1</v>
      </c>
      <c r="C282" s="34">
        <f ca="1">IF(B282=0,"",COUNTIF($B$2:B282,"&gt;0"))</f>
        <v>281</v>
      </c>
      <c r="D282" s="34">
        <f t="shared" ca="1" si="4"/>
        <v>0</v>
      </c>
    </row>
    <row r="283" spans="1:4" x14ac:dyDescent="0.4">
      <c r="A283" s="79">
        <f>'Trial Balance Dump'!B287</f>
        <v>0</v>
      </c>
      <c r="B283" s="34" cm="1">
        <f t="array" aca="1" ref="B283" ca="1">IFERROR(SEARCH(INDIRECT(CELL("address")),A283),0)</f>
        <v>1</v>
      </c>
      <c r="C283" s="34">
        <f ca="1">IF(B283=0,"",COUNTIF($B$2:B283,"&gt;0"))</f>
        <v>282</v>
      </c>
      <c r="D283" s="34">
        <f t="shared" ca="1" si="4"/>
        <v>0</v>
      </c>
    </row>
    <row r="284" spans="1:4" x14ac:dyDescent="0.4">
      <c r="A284" s="79">
        <f>'Trial Balance Dump'!B288</f>
        <v>0</v>
      </c>
      <c r="B284" s="34" cm="1">
        <f t="array" aca="1" ref="B284" ca="1">IFERROR(SEARCH(INDIRECT(CELL("address")),A284),0)</f>
        <v>1</v>
      </c>
      <c r="C284" s="34">
        <f ca="1">IF(B284=0,"",COUNTIF($B$2:B284,"&gt;0"))</f>
        <v>283</v>
      </c>
      <c r="D284" s="34">
        <f t="shared" ca="1" si="4"/>
        <v>0</v>
      </c>
    </row>
    <row r="285" spans="1:4" x14ac:dyDescent="0.4">
      <c r="A285" s="79">
        <f>'Trial Balance Dump'!B289</f>
        <v>0</v>
      </c>
      <c r="B285" s="34" cm="1">
        <f t="array" aca="1" ref="B285" ca="1">IFERROR(SEARCH(INDIRECT(CELL("address")),A285),0)</f>
        <v>1</v>
      </c>
      <c r="C285" s="34">
        <f ca="1">IF(B285=0,"",COUNTIF($B$2:B285,"&gt;0"))</f>
        <v>284</v>
      </c>
      <c r="D285" s="34">
        <f t="shared" ca="1" si="4"/>
        <v>0</v>
      </c>
    </row>
    <row r="286" spans="1:4" x14ac:dyDescent="0.4">
      <c r="A286" s="79">
        <f>'Trial Balance Dump'!B290</f>
        <v>0</v>
      </c>
      <c r="B286" s="34" cm="1">
        <f t="array" aca="1" ref="B286" ca="1">IFERROR(SEARCH(INDIRECT(CELL("address")),A286),0)</f>
        <v>1</v>
      </c>
      <c r="C286" s="34">
        <f ca="1">IF(B286=0,"",COUNTIF($B$2:B286,"&gt;0"))</f>
        <v>285</v>
      </c>
      <c r="D286" s="34">
        <f t="shared" ca="1" si="4"/>
        <v>0</v>
      </c>
    </row>
    <row r="287" spans="1:4" x14ac:dyDescent="0.4">
      <c r="A287" s="79">
        <f>'Trial Balance Dump'!B291</f>
        <v>0</v>
      </c>
      <c r="B287" s="34" cm="1">
        <f t="array" aca="1" ref="B287" ca="1">IFERROR(SEARCH(INDIRECT(CELL("address")),A287),0)</f>
        <v>1</v>
      </c>
      <c r="C287" s="34">
        <f ca="1">IF(B287=0,"",COUNTIF($B$2:B287,"&gt;0"))</f>
        <v>286</v>
      </c>
      <c r="D287" s="34">
        <f t="shared" ca="1" si="4"/>
        <v>0</v>
      </c>
    </row>
    <row r="288" spans="1:4" x14ac:dyDescent="0.4">
      <c r="A288" s="79">
        <f>'Trial Balance Dump'!B292</f>
        <v>0</v>
      </c>
      <c r="B288" s="34" cm="1">
        <f t="array" aca="1" ref="B288" ca="1">IFERROR(SEARCH(INDIRECT(CELL("address")),A288),0)</f>
        <v>1</v>
      </c>
      <c r="C288" s="34">
        <f ca="1">IF(B288=0,"",COUNTIF($B$2:B288,"&gt;0"))</f>
        <v>287</v>
      </c>
      <c r="D288" s="34">
        <f t="shared" ca="1" si="4"/>
        <v>0</v>
      </c>
    </row>
    <row r="289" spans="1:4" x14ac:dyDescent="0.4">
      <c r="A289" s="79">
        <f>'Trial Balance Dump'!B293</f>
        <v>0</v>
      </c>
      <c r="B289" s="34" cm="1">
        <f t="array" aca="1" ref="B289" ca="1">IFERROR(SEARCH(INDIRECT(CELL("address")),A289),0)</f>
        <v>1</v>
      </c>
      <c r="C289" s="34">
        <f ca="1">IF(B289=0,"",COUNTIF($B$2:B289,"&gt;0"))</f>
        <v>288</v>
      </c>
      <c r="D289" s="34">
        <f t="shared" ca="1" si="4"/>
        <v>0</v>
      </c>
    </row>
    <row r="290" spans="1:4" x14ac:dyDescent="0.4">
      <c r="A290" s="79">
        <f>'Trial Balance Dump'!B294</f>
        <v>0</v>
      </c>
      <c r="B290" s="34" cm="1">
        <f t="array" aca="1" ref="B290" ca="1">IFERROR(SEARCH(INDIRECT(CELL("address")),A290),0)</f>
        <v>1</v>
      </c>
      <c r="C290" s="34">
        <f ca="1">IF(B290=0,"",COUNTIF($B$2:B290,"&gt;0"))</f>
        <v>289</v>
      </c>
      <c r="D290" s="34">
        <f t="shared" ca="1" si="4"/>
        <v>0</v>
      </c>
    </row>
    <row r="291" spans="1:4" x14ac:dyDescent="0.4">
      <c r="A291" s="79">
        <f>'Trial Balance Dump'!B295</f>
        <v>0</v>
      </c>
      <c r="B291" s="34" cm="1">
        <f t="array" aca="1" ref="B291" ca="1">IFERROR(SEARCH(INDIRECT(CELL("address")),A291),0)</f>
        <v>1</v>
      </c>
      <c r="C291" s="34">
        <f ca="1">IF(B291=0,"",COUNTIF($B$2:B291,"&gt;0"))</f>
        <v>290</v>
      </c>
      <c r="D291" s="34">
        <f t="shared" ca="1" si="4"/>
        <v>0</v>
      </c>
    </row>
    <row r="292" spans="1:4" x14ac:dyDescent="0.4">
      <c r="A292" s="79">
        <f>'Trial Balance Dump'!B296</f>
        <v>0</v>
      </c>
      <c r="B292" s="34" cm="1">
        <f t="array" aca="1" ref="B292" ca="1">IFERROR(SEARCH(INDIRECT(CELL("address")),A292),0)</f>
        <v>1</v>
      </c>
      <c r="C292" s="34">
        <f ca="1">IF(B292=0,"",COUNTIF($B$2:B292,"&gt;0"))</f>
        <v>291</v>
      </c>
      <c r="D292" s="34">
        <f t="shared" ca="1" si="4"/>
        <v>0</v>
      </c>
    </row>
    <row r="293" spans="1:4" x14ac:dyDescent="0.4">
      <c r="A293" s="79">
        <f>'Trial Balance Dump'!B297</f>
        <v>0</v>
      </c>
      <c r="B293" s="34" cm="1">
        <f t="array" aca="1" ref="B293" ca="1">IFERROR(SEARCH(INDIRECT(CELL("address")),A293),0)</f>
        <v>1</v>
      </c>
      <c r="C293" s="34">
        <f ca="1">IF(B293=0,"",COUNTIF($B$2:B293,"&gt;0"))</f>
        <v>292</v>
      </c>
      <c r="D293" s="34">
        <f t="shared" ca="1" si="4"/>
        <v>0</v>
      </c>
    </row>
    <row r="294" spans="1:4" x14ac:dyDescent="0.4">
      <c r="A294" s="79">
        <f>'Trial Balance Dump'!B298</f>
        <v>0</v>
      </c>
      <c r="B294" s="34" cm="1">
        <f t="array" aca="1" ref="B294" ca="1">IFERROR(SEARCH(INDIRECT(CELL("address")),A294),0)</f>
        <v>1</v>
      </c>
      <c r="C294" s="34">
        <f ca="1">IF(B294=0,"",COUNTIF($B$2:B294,"&gt;0"))</f>
        <v>293</v>
      </c>
      <c r="D294" s="34">
        <f t="shared" ca="1" si="4"/>
        <v>0</v>
      </c>
    </row>
    <row r="295" spans="1:4" x14ac:dyDescent="0.4">
      <c r="A295" s="79">
        <f>'Trial Balance Dump'!B299</f>
        <v>0</v>
      </c>
      <c r="B295" s="34" cm="1">
        <f t="array" aca="1" ref="B295" ca="1">IFERROR(SEARCH(INDIRECT(CELL("address")),A295),0)</f>
        <v>1</v>
      </c>
      <c r="C295" s="34">
        <f ca="1">IF(B295=0,"",COUNTIF($B$2:B295,"&gt;0"))</f>
        <v>294</v>
      </c>
      <c r="D295" s="34">
        <f t="shared" ca="1" si="4"/>
        <v>0</v>
      </c>
    </row>
    <row r="296" spans="1:4" x14ac:dyDescent="0.4">
      <c r="A296" s="79">
        <f>'Trial Balance Dump'!B300</f>
        <v>0</v>
      </c>
      <c r="B296" s="34" cm="1">
        <f t="array" aca="1" ref="B296" ca="1">IFERROR(SEARCH(INDIRECT(CELL("address")),A296),0)</f>
        <v>1</v>
      </c>
      <c r="C296" s="34">
        <f ca="1">IF(B296=0,"",COUNTIF($B$2:B296,"&gt;0"))</f>
        <v>295</v>
      </c>
      <c r="D296" s="34">
        <f t="shared" ca="1" si="4"/>
        <v>0</v>
      </c>
    </row>
    <row r="297" spans="1:4" x14ac:dyDescent="0.4">
      <c r="A297" s="79">
        <f>'Trial Balance Dump'!B301</f>
        <v>0</v>
      </c>
      <c r="B297" s="34" cm="1">
        <f t="array" aca="1" ref="B297" ca="1">IFERROR(SEARCH(INDIRECT(CELL("address")),A297),0)</f>
        <v>1</v>
      </c>
      <c r="C297" s="34">
        <f ca="1">IF(B297=0,"",COUNTIF($B$2:B297,"&gt;0"))</f>
        <v>296</v>
      </c>
      <c r="D297" s="34">
        <f t="shared" ca="1" si="4"/>
        <v>0</v>
      </c>
    </row>
    <row r="298" spans="1:4" x14ac:dyDescent="0.4">
      <c r="A298" s="79">
        <f>'Trial Balance Dump'!B302</f>
        <v>0</v>
      </c>
      <c r="B298" s="34" cm="1">
        <f t="array" aca="1" ref="B298" ca="1">IFERROR(SEARCH(INDIRECT(CELL("address")),A298),0)</f>
        <v>1</v>
      </c>
      <c r="C298" s="34">
        <f ca="1">IF(B298=0,"",COUNTIF($B$2:B298,"&gt;0"))</f>
        <v>297</v>
      </c>
      <c r="D298" s="34">
        <f t="shared" ca="1" si="4"/>
        <v>0</v>
      </c>
    </row>
    <row r="299" spans="1:4" x14ac:dyDescent="0.4">
      <c r="A299" s="79">
        <f>'Trial Balance Dump'!B303</f>
        <v>0</v>
      </c>
      <c r="B299" s="34" cm="1">
        <f t="array" aca="1" ref="B299" ca="1">IFERROR(SEARCH(INDIRECT(CELL("address")),A299),0)</f>
        <v>1</v>
      </c>
      <c r="C299" s="34">
        <f ca="1">IF(B299=0,"",COUNTIF($B$2:B299,"&gt;0"))</f>
        <v>298</v>
      </c>
      <c r="D299" s="34">
        <f t="shared" ca="1" si="4"/>
        <v>0</v>
      </c>
    </row>
    <row r="300" spans="1:4" x14ac:dyDescent="0.4">
      <c r="A300" s="79">
        <f>'Trial Balance Dump'!B304</f>
        <v>0</v>
      </c>
      <c r="B300" s="34" cm="1">
        <f t="array" aca="1" ref="B300" ca="1">IFERROR(SEARCH(INDIRECT(CELL("address")),A300),0)</f>
        <v>1</v>
      </c>
      <c r="C300" s="34">
        <f ca="1">IF(B300=0,"",COUNTIF($B$2:B300,"&gt;0"))</f>
        <v>299</v>
      </c>
      <c r="D300" s="34">
        <f t="shared" ca="1" si="4"/>
        <v>0</v>
      </c>
    </row>
    <row r="301" spans="1:4" x14ac:dyDescent="0.4">
      <c r="A301" s="79">
        <f>'Trial Balance Dump'!B305</f>
        <v>0</v>
      </c>
      <c r="B301" s="34" cm="1">
        <f t="array" aca="1" ref="B301" ca="1">IFERROR(SEARCH(INDIRECT(CELL("address")),A301),0)</f>
        <v>1</v>
      </c>
      <c r="C301" s="34">
        <f ca="1">IF(B301=0,"",COUNTIF($B$2:B301,"&gt;0"))</f>
        <v>300</v>
      </c>
      <c r="D301" s="34">
        <f t="shared" ca="1" si="4"/>
        <v>0</v>
      </c>
    </row>
    <row r="302" spans="1:4" x14ac:dyDescent="0.4">
      <c r="A302" s="79">
        <f>'Trial Balance Dump'!B306</f>
        <v>0</v>
      </c>
      <c r="B302" s="34" cm="1">
        <f t="array" aca="1" ref="B302" ca="1">IFERROR(SEARCH(INDIRECT(CELL("address")),A302),0)</f>
        <v>1</v>
      </c>
      <c r="C302" s="34">
        <f ca="1">IF(B302=0,"",COUNTIF($B$2:B302,"&gt;0"))</f>
        <v>301</v>
      </c>
      <c r="D302" s="34">
        <f t="shared" ca="1" si="4"/>
        <v>0</v>
      </c>
    </row>
    <row r="303" spans="1:4" x14ac:dyDescent="0.4">
      <c r="A303" s="79">
        <f>'Trial Balance Dump'!B307</f>
        <v>0</v>
      </c>
      <c r="B303" s="34" cm="1">
        <f t="array" aca="1" ref="B303" ca="1">IFERROR(SEARCH(INDIRECT(CELL("address")),A303),0)</f>
        <v>1</v>
      </c>
      <c r="C303" s="34">
        <f ca="1">IF(B303=0,"",COUNTIF($B$2:B303,"&gt;0"))</f>
        <v>302</v>
      </c>
      <c r="D303" s="34">
        <f t="shared" ca="1" si="4"/>
        <v>0</v>
      </c>
    </row>
    <row r="304" spans="1:4" x14ac:dyDescent="0.4">
      <c r="A304" s="79">
        <f>'Trial Balance Dump'!B308</f>
        <v>0</v>
      </c>
      <c r="B304" s="34" cm="1">
        <f t="array" aca="1" ref="B304" ca="1">IFERROR(SEARCH(INDIRECT(CELL("address")),A304),0)</f>
        <v>1</v>
      </c>
      <c r="C304" s="34">
        <f ca="1">IF(B304=0,"",COUNTIF($B$2:B304,"&gt;0"))</f>
        <v>303</v>
      </c>
      <c r="D304" s="34">
        <f t="shared" ca="1" si="4"/>
        <v>0</v>
      </c>
    </row>
    <row r="305" spans="1:4" x14ac:dyDescent="0.4">
      <c r="A305" s="79">
        <f>'Trial Balance Dump'!B309</f>
        <v>0</v>
      </c>
      <c r="B305" s="34" cm="1">
        <f t="array" aca="1" ref="B305" ca="1">IFERROR(SEARCH(INDIRECT(CELL("address")),A305),0)</f>
        <v>1</v>
      </c>
      <c r="C305" s="34">
        <f ca="1">IF(B305=0,"",COUNTIF($B$2:B305,"&gt;0"))</f>
        <v>304</v>
      </c>
      <c r="D305" s="34">
        <f t="shared" ca="1" si="4"/>
        <v>0</v>
      </c>
    </row>
    <row r="306" spans="1:4" x14ac:dyDescent="0.4">
      <c r="A306" s="79">
        <f>'Trial Balance Dump'!B310</f>
        <v>0</v>
      </c>
      <c r="B306" s="34" cm="1">
        <f t="array" aca="1" ref="B306" ca="1">IFERROR(SEARCH(INDIRECT(CELL("address")),A306),0)</f>
        <v>1</v>
      </c>
      <c r="C306" s="34">
        <f ca="1">IF(B306=0,"",COUNTIF($B$2:B306,"&gt;0"))</f>
        <v>305</v>
      </c>
      <c r="D306" s="34">
        <f t="shared" ca="1" si="4"/>
        <v>0</v>
      </c>
    </row>
    <row r="307" spans="1:4" x14ac:dyDescent="0.4">
      <c r="A307" s="79">
        <f>'Trial Balance Dump'!B311</f>
        <v>0</v>
      </c>
      <c r="B307" s="34" cm="1">
        <f t="array" aca="1" ref="B307" ca="1">IFERROR(SEARCH(INDIRECT(CELL("address")),A307),0)</f>
        <v>1</v>
      </c>
      <c r="C307" s="34">
        <f ca="1">IF(B307=0,"",COUNTIF($B$2:B307,"&gt;0"))</f>
        <v>306</v>
      </c>
      <c r="D307" s="34">
        <f t="shared" ca="1" si="4"/>
        <v>0</v>
      </c>
    </row>
    <row r="308" spans="1:4" x14ac:dyDescent="0.4">
      <c r="A308" s="79">
        <f>'Trial Balance Dump'!B312</f>
        <v>0</v>
      </c>
      <c r="B308" s="34" cm="1">
        <f t="array" aca="1" ref="B308" ca="1">IFERROR(SEARCH(INDIRECT(CELL("address")),A308),0)</f>
        <v>1</v>
      </c>
      <c r="C308" s="34">
        <f ca="1">IF(B308=0,"",COUNTIF($B$2:B308,"&gt;0"))</f>
        <v>307</v>
      </c>
      <c r="D308" s="34">
        <f t="shared" ca="1" si="4"/>
        <v>0</v>
      </c>
    </row>
    <row r="309" spans="1:4" x14ac:dyDescent="0.4">
      <c r="A309" s="79">
        <f>'Trial Balance Dump'!B313</f>
        <v>0</v>
      </c>
      <c r="B309" s="34" cm="1">
        <f t="array" aca="1" ref="B309" ca="1">IFERROR(SEARCH(INDIRECT(CELL("address")),A309),0)</f>
        <v>1</v>
      </c>
      <c r="C309" s="34">
        <f ca="1">IF(B309=0,"",COUNTIF($B$2:B309,"&gt;0"))</f>
        <v>308</v>
      </c>
      <c r="D309" s="34">
        <f t="shared" ca="1" si="4"/>
        <v>0</v>
      </c>
    </row>
    <row r="310" spans="1:4" x14ac:dyDescent="0.4">
      <c r="A310" s="79">
        <f>'Trial Balance Dump'!B314</f>
        <v>0</v>
      </c>
      <c r="B310" s="34" cm="1">
        <f t="array" aca="1" ref="B310" ca="1">IFERROR(SEARCH(INDIRECT(CELL("address")),A310),0)</f>
        <v>1</v>
      </c>
      <c r="C310" s="34">
        <f ca="1">IF(B310=0,"",COUNTIF($B$2:B310,"&gt;0"))</f>
        <v>309</v>
      </c>
      <c r="D310" s="34">
        <f t="shared" ca="1" si="4"/>
        <v>0</v>
      </c>
    </row>
    <row r="311" spans="1:4" x14ac:dyDescent="0.4">
      <c r="A311" s="79">
        <f>'Trial Balance Dump'!B315</f>
        <v>0</v>
      </c>
      <c r="B311" s="34" cm="1">
        <f t="array" aca="1" ref="B311" ca="1">IFERROR(SEARCH(INDIRECT(CELL("address")),A311),0)</f>
        <v>1</v>
      </c>
      <c r="C311" s="34">
        <f ca="1">IF(B311=0,"",COUNTIF($B$2:B311,"&gt;0"))</f>
        <v>310</v>
      </c>
      <c r="D311" s="34">
        <f t="shared" ca="1" si="4"/>
        <v>0</v>
      </c>
    </row>
    <row r="312" spans="1:4" x14ac:dyDescent="0.4">
      <c r="A312" s="79">
        <f>'Trial Balance Dump'!B316</f>
        <v>0</v>
      </c>
      <c r="B312" s="34" cm="1">
        <f t="array" aca="1" ref="B312" ca="1">IFERROR(SEARCH(INDIRECT(CELL("address")),A312),0)</f>
        <v>1</v>
      </c>
      <c r="C312" s="34">
        <f ca="1">IF(B312=0,"",COUNTIF($B$2:B312,"&gt;0"))</f>
        <v>311</v>
      </c>
      <c r="D312" s="34">
        <f t="shared" ca="1" si="4"/>
        <v>0</v>
      </c>
    </row>
    <row r="313" spans="1:4" x14ac:dyDescent="0.4">
      <c r="A313" s="79">
        <f>'Trial Balance Dump'!B317</f>
        <v>0</v>
      </c>
      <c r="B313" s="34" cm="1">
        <f t="array" aca="1" ref="B313" ca="1">IFERROR(SEARCH(INDIRECT(CELL("address")),A313),0)</f>
        <v>1</v>
      </c>
      <c r="C313" s="34">
        <f ca="1">IF(B313=0,"",COUNTIF($B$2:B313,"&gt;0"))</f>
        <v>312</v>
      </c>
      <c r="D313" s="34">
        <f t="shared" ca="1" si="4"/>
        <v>0</v>
      </c>
    </row>
    <row r="314" spans="1:4" x14ac:dyDescent="0.4">
      <c r="A314" s="79">
        <f>'Trial Balance Dump'!B318</f>
        <v>0</v>
      </c>
      <c r="B314" s="34" cm="1">
        <f t="array" aca="1" ref="B314" ca="1">IFERROR(SEARCH(INDIRECT(CELL("address")),A314),0)</f>
        <v>1</v>
      </c>
      <c r="C314" s="34">
        <f ca="1">IF(B314=0,"",COUNTIF($B$2:B314,"&gt;0"))</f>
        <v>313</v>
      </c>
      <c r="D314" s="34">
        <f t="shared" ca="1" si="4"/>
        <v>0</v>
      </c>
    </row>
    <row r="315" spans="1:4" x14ac:dyDescent="0.4">
      <c r="A315" s="79">
        <f>'Trial Balance Dump'!B319</f>
        <v>0</v>
      </c>
      <c r="B315" s="34" cm="1">
        <f t="array" aca="1" ref="B315" ca="1">IFERROR(SEARCH(INDIRECT(CELL("address")),A315),0)</f>
        <v>1</v>
      </c>
      <c r="C315" s="34">
        <f ca="1">IF(B315=0,"",COUNTIF($B$2:B315,"&gt;0"))</f>
        <v>314</v>
      </c>
      <c r="D315" s="34">
        <f t="shared" ca="1" si="4"/>
        <v>0</v>
      </c>
    </row>
    <row r="316" spans="1:4" x14ac:dyDescent="0.4">
      <c r="A316" s="79">
        <f>'Trial Balance Dump'!B320</f>
        <v>0</v>
      </c>
      <c r="B316" s="34" cm="1">
        <f t="array" aca="1" ref="B316" ca="1">IFERROR(SEARCH(INDIRECT(CELL("address")),A316),0)</f>
        <v>1</v>
      </c>
      <c r="C316" s="34">
        <f ca="1">IF(B316=0,"",COUNTIF($B$2:B316,"&gt;0"))</f>
        <v>315</v>
      </c>
      <c r="D316" s="34">
        <f t="shared" ca="1" si="4"/>
        <v>0</v>
      </c>
    </row>
    <row r="317" spans="1:4" x14ac:dyDescent="0.4">
      <c r="A317" s="79">
        <f>'Trial Balance Dump'!B321</f>
        <v>0</v>
      </c>
      <c r="B317" s="34" cm="1">
        <f t="array" aca="1" ref="B317" ca="1">IFERROR(SEARCH(INDIRECT(CELL("address")),A317),0)</f>
        <v>1</v>
      </c>
      <c r="C317" s="34">
        <f ca="1">IF(B317=0,"",COUNTIF($B$2:B317,"&gt;0"))</f>
        <v>316</v>
      </c>
      <c r="D317" s="34">
        <f t="shared" ca="1" si="4"/>
        <v>0</v>
      </c>
    </row>
    <row r="318" spans="1:4" x14ac:dyDescent="0.4">
      <c r="A318" s="79">
        <f>'Trial Balance Dump'!B322</f>
        <v>0</v>
      </c>
      <c r="B318" s="34" cm="1">
        <f t="array" aca="1" ref="B318" ca="1">IFERROR(SEARCH(INDIRECT(CELL("address")),A318),0)</f>
        <v>1</v>
      </c>
      <c r="C318" s="34">
        <f ca="1">IF(B318=0,"",COUNTIF($B$2:B318,"&gt;0"))</f>
        <v>317</v>
      </c>
      <c r="D318" s="34">
        <f t="shared" ca="1" si="4"/>
        <v>0</v>
      </c>
    </row>
    <row r="319" spans="1:4" x14ac:dyDescent="0.4">
      <c r="A319" s="79">
        <f>'Trial Balance Dump'!B323</f>
        <v>0</v>
      </c>
      <c r="B319" s="34" cm="1">
        <f t="array" aca="1" ref="B319" ca="1">IFERROR(SEARCH(INDIRECT(CELL("address")),A319),0)</f>
        <v>1</v>
      </c>
      <c r="C319" s="34">
        <f ca="1">IF(B319=0,"",COUNTIF($B$2:B319,"&gt;0"))</f>
        <v>318</v>
      </c>
      <c r="D319" s="34">
        <f t="shared" ca="1" si="4"/>
        <v>0</v>
      </c>
    </row>
    <row r="320" spans="1:4" x14ac:dyDescent="0.4">
      <c r="A320" s="79">
        <f>'Trial Balance Dump'!B324</f>
        <v>0</v>
      </c>
      <c r="B320" s="34" cm="1">
        <f t="array" aca="1" ref="B320" ca="1">IFERROR(SEARCH(INDIRECT(CELL("address")),A320),0)</f>
        <v>1</v>
      </c>
      <c r="C320" s="34">
        <f ca="1">IF(B320=0,"",COUNTIF($B$2:B320,"&gt;0"))</f>
        <v>319</v>
      </c>
      <c r="D320" s="34">
        <f t="shared" ca="1" si="4"/>
        <v>0</v>
      </c>
    </row>
    <row r="321" spans="1:4" x14ac:dyDescent="0.4">
      <c r="A321" s="79">
        <f>'Trial Balance Dump'!B325</f>
        <v>0</v>
      </c>
      <c r="B321" s="34" cm="1">
        <f t="array" aca="1" ref="B321" ca="1">IFERROR(SEARCH(INDIRECT(CELL("address")),A321),0)</f>
        <v>1</v>
      </c>
      <c r="C321" s="34">
        <f ca="1">IF(B321=0,"",COUNTIF($B$2:B321,"&gt;0"))</f>
        <v>320</v>
      </c>
      <c r="D321" s="34">
        <f t="shared" ca="1" si="4"/>
        <v>0</v>
      </c>
    </row>
    <row r="322" spans="1:4" x14ac:dyDescent="0.4">
      <c r="A322" s="79">
        <f>'Trial Balance Dump'!B326</f>
        <v>0</v>
      </c>
      <c r="B322" s="34" cm="1">
        <f t="array" aca="1" ref="B322" ca="1">IFERROR(SEARCH(INDIRECT(CELL("address")),A322),0)</f>
        <v>1</v>
      </c>
      <c r="C322" s="34">
        <f ca="1">IF(B322=0,"",COUNTIF($B$2:B322,"&gt;0"))</f>
        <v>321</v>
      </c>
      <c r="D322" s="34">
        <f t="shared" ca="1" si="4"/>
        <v>0</v>
      </c>
    </row>
    <row r="323" spans="1:4" x14ac:dyDescent="0.4">
      <c r="A323" s="79">
        <f>'Trial Balance Dump'!B327</f>
        <v>0</v>
      </c>
      <c r="B323" s="34" cm="1">
        <f t="array" aca="1" ref="B323" ca="1">IFERROR(SEARCH(INDIRECT(CELL("address")),A323),0)</f>
        <v>1</v>
      </c>
      <c r="C323" s="34">
        <f ca="1">IF(B323=0,"",COUNTIF($B$2:B323,"&gt;0"))</f>
        <v>322</v>
      </c>
      <c r="D323" s="34">
        <f t="shared" ref="D323:D386" ca="1" si="5">IFERROR(INDEX(A:A,MATCH(ROW(B322),C:C,0)),"")</f>
        <v>0</v>
      </c>
    </row>
    <row r="324" spans="1:4" x14ac:dyDescent="0.4">
      <c r="A324" s="79">
        <f>'Trial Balance Dump'!B328</f>
        <v>0</v>
      </c>
      <c r="B324" s="34" cm="1">
        <f t="array" aca="1" ref="B324" ca="1">IFERROR(SEARCH(INDIRECT(CELL("address")),A324),0)</f>
        <v>1</v>
      </c>
      <c r="C324" s="34">
        <f ca="1">IF(B324=0,"",COUNTIF($B$2:B324,"&gt;0"))</f>
        <v>323</v>
      </c>
      <c r="D324" s="34">
        <f t="shared" ca="1" si="5"/>
        <v>0</v>
      </c>
    </row>
    <row r="325" spans="1:4" x14ac:dyDescent="0.4">
      <c r="A325" s="79">
        <f>'Trial Balance Dump'!B329</f>
        <v>0</v>
      </c>
      <c r="B325" s="34" cm="1">
        <f t="array" aca="1" ref="B325" ca="1">IFERROR(SEARCH(INDIRECT(CELL("address")),A325),0)</f>
        <v>1</v>
      </c>
      <c r="C325" s="34">
        <f ca="1">IF(B325=0,"",COUNTIF($B$2:B325,"&gt;0"))</f>
        <v>324</v>
      </c>
      <c r="D325" s="34">
        <f t="shared" ca="1" si="5"/>
        <v>0</v>
      </c>
    </row>
    <row r="326" spans="1:4" x14ac:dyDescent="0.4">
      <c r="A326" s="79">
        <f>'Trial Balance Dump'!B330</f>
        <v>0</v>
      </c>
      <c r="B326" s="34" cm="1">
        <f t="array" aca="1" ref="B326" ca="1">IFERROR(SEARCH(INDIRECT(CELL("address")),A326),0)</f>
        <v>1</v>
      </c>
      <c r="C326" s="34">
        <f ca="1">IF(B326=0,"",COUNTIF($B$2:B326,"&gt;0"))</f>
        <v>325</v>
      </c>
      <c r="D326" s="34">
        <f t="shared" ca="1" si="5"/>
        <v>0</v>
      </c>
    </row>
    <row r="327" spans="1:4" x14ac:dyDescent="0.4">
      <c r="A327" s="79">
        <f>'Trial Balance Dump'!B331</f>
        <v>0</v>
      </c>
      <c r="B327" s="34" cm="1">
        <f t="array" aca="1" ref="B327" ca="1">IFERROR(SEARCH(INDIRECT(CELL("address")),A327),0)</f>
        <v>1</v>
      </c>
      <c r="C327" s="34">
        <f ca="1">IF(B327=0,"",COUNTIF($B$2:B327,"&gt;0"))</f>
        <v>326</v>
      </c>
      <c r="D327" s="34">
        <f t="shared" ca="1" si="5"/>
        <v>0</v>
      </c>
    </row>
    <row r="328" spans="1:4" x14ac:dyDescent="0.4">
      <c r="A328" s="79">
        <f>'Trial Balance Dump'!B332</f>
        <v>0</v>
      </c>
      <c r="B328" s="34" cm="1">
        <f t="array" aca="1" ref="B328" ca="1">IFERROR(SEARCH(INDIRECT(CELL("address")),A328),0)</f>
        <v>1</v>
      </c>
      <c r="C328" s="34">
        <f ca="1">IF(B328=0,"",COUNTIF($B$2:B328,"&gt;0"))</f>
        <v>327</v>
      </c>
      <c r="D328" s="34">
        <f t="shared" ca="1" si="5"/>
        <v>0</v>
      </c>
    </row>
    <row r="329" spans="1:4" x14ac:dyDescent="0.4">
      <c r="A329" s="79">
        <f>'Trial Balance Dump'!B333</f>
        <v>0</v>
      </c>
      <c r="B329" s="34" cm="1">
        <f t="array" aca="1" ref="B329" ca="1">IFERROR(SEARCH(INDIRECT(CELL("address")),A329),0)</f>
        <v>1</v>
      </c>
      <c r="C329" s="34">
        <f ca="1">IF(B329=0,"",COUNTIF($B$2:B329,"&gt;0"))</f>
        <v>328</v>
      </c>
      <c r="D329" s="34">
        <f t="shared" ca="1" si="5"/>
        <v>0</v>
      </c>
    </row>
    <row r="330" spans="1:4" x14ac:dyDescent="0.4">
      <c r="A330" s="79">
        <f>'Trial Balance Dump'!B334</f>
        <v>0</v>
      </c>
      <c r="B330" s="34" cm="1">
        <f t="array" aca="1" ref="B330" ca="1">IFERROR(SEARCH(INDIRECT(CELL("address")),A330),0)</f>
        <v>1</v>
      </c>
      <c r="C330" s="34">
        <f ca="1">IF(B330=0,"",COUNTIF($B$2:B330,"&gt;0"))</f>
        <v>329</v>
      </c>
      <c r="D330" s="34">
        <f t="shared" ca="1" si="5"/>
        <v>0</v>
      </c>
    </row>
    <row r="331" spans="1:4" x14ac:dyDescent="0.4">
      <c r="A331" s="79">
        <f>'Trial Balance Dump'!B335</f>
        <v>0</v>
      </c>
      <c r="B331" s="34" cm="1">
        <f t="array" aca="1" ref="B331" ca="1">IFERROR(SEARCH(INDIRECT(CELL("address")),A331),0)</f>
        <v>1</v>
      </c>
      <c r="C331" s="34">
        <f ca="1">IF(B331=0,"",COUNTIF($B$2:B331,"&gt;0"))</f>
        <v>330</v>
      </c>
      <c r="D331" s="34">
        <f t="shared" ca="1" si="5"/>
        <v>0</v>
      </c>
    </row>
    <row r="332" spans="1:4" x14ac:dyDescent="0.4">
      <c r="A332" s="79">
        <f>'Trial Balance Dump'!B336</f>
        <v>0</v>
      </c>
      <c r="B332" s="34" cm="1">
        <f t="array" aca="1" ref="B332" ca="1">IFERROR(SEARCH(INDIRECT(CELL("address")),A332),0)</f>
        <v>1</v>
      </c>
      <c r="C332" s="34">
        <f ca="1">IF(B332=0,"",COUNTIF($B$2:B332,"&gt;0"))</f>
        <v>331</v>
      </c>
      <c r="D332" s="34">
        <f t="shared" ca="1" si="5"/>
        <v>0</v>
      </c>
    </row>
    <row r="333" spans="1:4" x14ac:dyDescent="0.4">
      <c r="A333" s="79">
        <f>'Trial Balance Dump'!B337</f>
        <v>0</v>
      </c>
      <c r="B333" s="34" cm="1">
        <f t="array" aca="1" ref="B333" ca="1">IFERROR(SEARCH(INDIRECT(CELL("address")),A333),0)</f>
        <v>1</v>
      </c>
      <c r="C333" s="34">
        <f ca="1">IF(B333=0,"",COUNTIF($B$2:B333,"&gt;0"))</f>
        <v>332</v>
      </c>
      <c r="D333" s="34">
        <f t="shared" ca="1" si="5"/>
        <v>0</v>
      </c>
    </row>
    <row r="334" spans="1:4" x14ac:dyDescent="0.4">
      <c r="A334" s="79">
        <f>'Trial Balance Dump'!B338</f>
        <v>0</v>
      </c>
      <c r="B334" s="34" cm="1">
        <f t="array" aca="1" ref="B334" ca="1">IFERROR(SEARCH(INDIRECT(CELL("address")),A334),0)</f>
        <v>1</v>
      </c>
      <c r="C334" s="34">
        <f ca="1">IF(B334=0,"",COUNTIF($B$2:B334,"&gt;0"))</f>
        <v>333</v>
      </c>
      <c r="D334" s="34">
        <f t="shared" ca="1" si="5"/>
        <v>0</v>
      </c>
    </row>
    <row r="335" spans="1:4" x14ac:dyDescent="0.4">
      <c r="A335" s="79">
        <f>'Trial Balance Dump'!B339</f>
        <v>0</v>
      </c>
      <c r="B335" s="34" cm="1">
        <f t="array" aca="1" ref="B335" ca="1">IFERROR(SEARCH(INDIRECT(CELL("address")),A335),0)</f>
        <v>1</v>
      </c>
      <c r="C335" s="34">
        <f ca="1">IF(B335=0,"",COUNTIF($B$2:B335,"&gt;0"))</f>
        <v>334</v>
      </c>
      <c r="D335" s="34">
        <f t="shared" ca="1" si="5"/>
        <v>0</v>
      </c>
    </row>
    <row r="336" spans="1:4" x14ac:dyDescent="0.4">
      <c r="A336" s="79">
        <f>'Trial Balance Dump'!B340</f>
        <v>0</v>
      </c>
      <c r="B336" s="34" cm="1">
        <f t="array" aca="1" ref="B336" ca="1">IFERROR(SEARCH(INDIRECT(CELL("address")),A336),0)</f>
        <v>1</v>
      </c>
      <c r="C336" s="34">
        <f ca="1">IF(B336=0,"",COUNTIF($B$2:B336,"&gt;0"))</f>
        <v>335</v>
      </c>
      <c r="D336" s="34">
        <f t="shared" ca="1" si="5"/>
        <v>0</v>
      </c>
    </row>
    <row r="337" spans="1:4" x14ac:dyDescent="0.4">
      <c r="A337" s="79">
        <f>'Trial Balance Dump'!B341</f>
        <v>0</v>
      </c>
      <c r="B337" s="34" cm="1">
        <f t="array" aca="1" ref="B337" ca="1">IFERROR(SEARCH(INDIRECT(CELL("address")),A337),0)</f>
        <v>1</v>
      </c>
      <c r="C337" s="34">
        <f ca="1">IF(B337=0,"",COUNTIF($B$2:B337,"&gt;0"))</f>
        <v>336</v>
      </c>
      <c r="D337" s="34">
        <f t="shared" ca="1" si="5"/>
        <v>0</v>
      </c>
    </row>
    <row r="338" spans="1:4" x14ac:dyDescent="0.4">
      <c r="A338" s="79">
        <f>'Trial Balance Dump'!B342</f>
        <v>0</v>
      </c>
      <c r="B338" s="34" cm="1">
        <f t="array" aca="1" ref="B338" ca="1">IFERROR(SEARCH(INDIRECT(CELL("address")),A338),0)</f>
        <v>1</v>
      </c>
      <c r="C338" s="34">
        <f ca="1">IF(B338=0,"",COUNTIF($B$2:B338,"&gt;0"))</f>
        <v>337</v>
      </c>
      <c r="D338" s="34">
        <f t="shared" ca="1" si="5"/>
        <v>0</v>
      </c>
    </row>
    <row r="339" spans="1:4" x14ac:dyDescent="0.4">
      <c r="A339" s="79">
        <f>'Trial Balance Dump'!B343</f>
        <v>0</v>
      </c>
      <c r="B339" s="34" cm="1">
        <f t="array" aca="1" ref="B339" ca="1">IFERROR(SEARCH(INDIRECT(CELL("address")),A339),0)</f>
        <v>1</v>
      </c>
      <c r="C339" s="34">
        <f ca="1">IF(B339=0,"",COUNTIF($B$2:B339,"&gt;0"))</f>
        <v>338</v>
      </c>
      <c r="D339" s="34">
        <f t="shared" ca="1" si="5"/>
        <v>0</v>
      </c>
    </row>
    <row r="340" spans="1:4" x14ac:dyDescent="0.4">
      <c r="A340" s="79">
        <f>'Trial Balance Dump'!B344</f>
        <v>0</v>
      </c>
      <c r="B340" s="34" cm="1">
        <f t="array" aca="1" ref="B340" ca="1">IFERROR(SEARCH(INDIRECT(CELL("address")),A340),0)</f>
        <v>1</v>
      </c>
      <c r="C340" s="34">
        <f ca="1">IF(B340=0,"",COUNTIF($B$2:B340,"&gt;0"))</f>
        <v>339</v>
      </c>
      <c r="D340" s="34">
        <f t="shared" ca="1" si="5"/>
        <v>0</v>
      </c>
    </row>
    <row r="341" spans="1:4" x14ac:dyDescent="0.4">
      <c r="A341" s="79">
        <f>'Trial Balance Dump'!B345</f>
        <v>0</v>
      </c>
      <c r="B341" s="34" cm="1">
        <f t="array" aca="1" ref="B341" ca="1">IFERROR(SEARCH(INDIRECT(CELL("address")),A341),0)</f>
        <v>1</v>
      </c>
      <c r="C341" s="34">
        <f ca="1">IF(B341=0,"",COUNTIF($B$2:B341,"&gt;0"))</f>
        <v>340</v>
      </c>
      <c r="D341" s="34">
        <f t="shared" ca="1" si="5"/>
        <v>0</v>
      </c>
    </row>
    <row r="342" spans="1:4" x14ac:dyDescent="0.4">
      <c r="A342" s="79">
        <f>'Trial Balance Dump'!B346</f>
        <v>0</v>
      </c>
      <c r="B342" s="34" cm="1">
        <f t="array" aca="1" ref="B342" ca="1">IFERROR(SEARCH(INDIRECT(CELL("address")),A342),0)</f>
        <v>1</v>
      </c>
      <c r="C342" s="34">
        <f ca="1">IF(B342=0,"",COUNTIF($B$2:B342,"&gt;0"))</f>
        <v>341</v>
      </c>
      <c r="D342" s="34">
        <f t="shared" ca="1" si="5"/>
        <v>0</v>
      </c>
    </row>
    <row r="343" spans="1:4" x14ac:dyDescent="0.4">
      <c r="A343" s="79">
        <f>'Trial Balance Dump'!B347</f>
        <v>0</v>
      </c>
      <c r="B343" s="34" cm="1">
        <f t="array" aca="1" ref="B343" ca="1">IFERROR(SEARCH(INDIRECT(CELL("address")),A343),0)</f>
        <v>1</v>
      </c>
      <c r="C343" s="34">
        <f ca="1">IF(B343=0,"",COUNTIF($B$2:B343,"&gt;0"))</f>
        <v>342</v>
      </c>
      <c r="D343" s="34">
        <f t="shared" ca="1" si="5"/>
        <v>0</v>
      </c>
    </row>
    <row r="344" spans="1:4" x14ac:dyDescent="0.4">
      <c r="A344" s="79">
        <f>'Trial Balance Dump'!B348</f>
        <v>0</v>
      </c>
      <c r="B344" s="34" cm="1">
        <f t="array" aca="1" ref="B344" ca="1">IFERROR(SEARCH(INDIRECT(CELL("address")),A344),0)</f>
        <v>1</v>
      </c>
      <c r="C344" s="34">
        <f ca="1">IF(B344=0,"",COUNTIF($B$2:B344,"&gt;0"))</f>
        <v>343</v>
      </c>
      <c r="D344" s="34">
        <f t="shared" ca="1" si="5"/>
        <v>0</v>
      </c>
    </row>
    <row r="345" spans="1:4" x14ac:dyDescent="0.4">
      <c r="A345" s="79">
        <f>'Trial Balance Dump'!B349</f>
        <v>0</v>
      </c>
      <c r="B345" s="34" cm="1">
        <f t="array" aca="1" ref="B345" ca="1">IFERROR(SEARCH(INDIRECT(CELL("address")),A345),0)</f>
        <v>1</v>
      </c>
      <c r="C345" s="34">
        <f ca="1">IF(B345=0,"",COUNTIF($B$2:B345,"&gt;0"))</f>
        <v>344</v>
      </c>
      <c r="D345" s="34">
        <f t="shared" ca="1" si="5"/>
        <v>0</v>
      </c>
    </row>
    <row r="346" spans="1:4" x14ac:dyDescent="0.4">
      <c r="A346" s="79">
        <f>'Trial Balance Dump'!B350</f>
        <v>0</v>
      </c>
      <c r="B346" s="34" cm="1">
        <f t="array" aca="1" ref="B346" ca="1">IFERROR(SEARCH(INDIRECT(CELL("address")),A346),0)</f>
        <v>1</v>
      </c>
      <c r="C346" s="34">
        <f ca="1">IF(B346=0,"",COUNTIF($B$2:B346,"&gt;0"))</f>
        <v>345</v>
      </c>
      <c r="D346" s="34">
        <f t="shared" ca="1" si="5"/>
        <v>0</v>
      </c>
    </row>
    <row r="347" spans="1:4" x14ac:dyDescent="0.4">
      <c r="A347" s="79">
        <f>'Trial Balance Dump'!B351</f>
        <v>0</v>
      </c>
      <c r="B347" s="34" cm="1">
        <f t="array" aca="1" ref="B347" ca="1">IFERROR(SEARCH(INDIRECT(CELL("address")),A347),0)</f>
        <v>1</v>
      </c>
      <c r="C347" s="34">
        <f ca="1">IF(B347=0,"",COUNTIF($B$2:B347,"&gt;0"))</f>
        <v>346</v>
      </c>
      <c r="D347" s="34">
        <f t="shared" ca="1" si="5"/>
        <v>0</v>
      </c>
    </row>
    <row r="348" spans="1:4" x14ac:dyDescent="0.4">
      <c r="A348" s="79">
        <f>'Trial Balance Dump'!B352</f>
        <v>0</v>
      </c>
      <c r="B348" s="34" cm="1">
        <f t="array" aca="1" ref="B348" ca="1">IFERROR(SEARCH(INDIRECT(CELL("address")),A348),0)</f>
        <v>1</v>
      </c>
      <c r="C348" s="34">
        <f ca="1">IF(B348=0,"",COUNTIF($B$2:B348,"&gt;0"))</f>
        <v>347</v>
      </c>
      <c r="D348" s="34">
        <f t="shared" ca="1" si="5"/>
        <v>0</v>
      </c>
    </row>
    <row r="349" spans="1:4" x14ac:dyDescent="0.4">
      <c r="A349" s="79">
        <f>'Trial Balance Dump'!B353</f>
        <v>0</v>
      </c>
      <c r="B349" s="34" cm="1">
        <f t="array" aca="1" ref="B349" ca="1">IFERROR(SEARCH(INDIRECT(CELL("address")),A349),0)</f>
        <v>1</v>
      </c>
      <c r="C349" s="34">
        <f ca="1">IF(B349=0,"",COUNTIF($B$2:B349,"&gt;0"))</f>
        <v>348</v>
      </c>
      <c r="D349" s="34">
        <f t="shared" ca="1" si="5"/>
        <v>0</v>
      </c>
    </row>
    <row r="350" spans="1:4" x14ac:dyDescent="0.4">
      <c r="A350" s="79">
        <f>'Trial Balance Dump'!B354</f>
        <v>0</v>
      </c>
      <c r="B350" s="34" cm="1">
        <f t="array" aca="1" ref="B350" ca="1">IFERROR(SEARCH(INDIRECT(CELL("address")),A350),0)</f>
        <v>1</v>
      </c>
      <c r="C350" s="34">
        <f ca="1">IF(B350=0,"",COUNTIF($B$2:B350,"&gt;0"))</f>
        <v>349</v>
      </c>
      <c r="D350" s="34">
        <f t="shared" ca="1" si="5"/>
        <v>0</v>
      </c>
    </row>
    <row r="351" spans="1:4" x14ac:dyDescent="0.4">
      <c r="A351" s="79">
        <f>'Trial Balance Dump'!B355</f>
        <v>0</v>
      </c>
      <c r="B351" s="34" cm="1">
        <f t="array" aca="1" ref="B351" ca="1">IFERROR(SEARCH(INDIRECT(CELL("address")),A351),0)</f>
        <v>1</v>
      </c>
      <c r="C351" s="34">
        <f ca="1">IF(B351=0,"",COUNTIF($B$2:B351,"&gt;0"))</f>
        <v>350</v>
      </c>
      <c r="D351" s="34">
        <f t="shared" ca="1" si="5"/>
        <v>0</v>
      </c>
    </row>
    <row r="352" spans="1:4" x14ac:dyDescent="0.4">
      <c r="A352" s="79">
        <f>'Trial Balance Dump'!B356</f>
        <v>0</v>
      </c>
      <c r="B352" s="34" cm="1">
        <f t="array" aca="1" ref="B352" ca="1">IFERROR(SEARCH(INDIRECT(CELL("address")),A352),0)</f>
        <v>1</v>
      </c>
      <c r="C352" s="34">
        <f ca="1">IF(B352=0,"",COUNTIF($B$2:B352,"&gt;0"))</f>
        <v>351</v>
      </c>
      <c r="D352" s="34">
        <f t="shared" ca="1" si="5"/>
        <v>0</v>
      </c>
    </row>
    <row r="353" spans="1:4" x14ac:dyDescent="0.4">
      <c r="A353" s="79">
        <f>'Trial Balance Dump'!B357</f>
        <v>0</v>
      </c>
      <c r="B353" s="34" cm="1">
        <f t="array" aca="1" ref="B353" ca="1">IFERROR(SEARCH(INDIRECT(CELL("address")),A353),0)</f>
        <v>1</v>
      </c>
      <c r="C353" s="34">
        <f ca="1">IF(B353=0,"",COUNTIF($B$2:B353,"&gt;0"))</f>
        <v>352</v>
      </c>
      <c r="D353" s="34">
        <f t="shared" ca="1" si="5"/>
        <v>0</v>
      </c>
    </row>
    <row r="354" spans="1:4" x14ac:dyDescent="0.4">
      <c r="A354" s="79">
        <f>'Trial Balance Dump'!B358</f>
        <v>0</v>
      </c>
      <c r="B354" s="34" cm="1">
        <f t="array" aca="1" ref="B354" ca="1">IFERROR(SEARCH(INDIRECT(CELL("address")),A354),0)</f>
        <v>1</v>
      </c>
      <c r="C354" s="34">
        <f ca="1">IF(B354=0,"",COUNTIF($B$2:B354,"&gt;0"))</f>
        <v>353</v>
      </c>
      <c r="D354" s="34">
        <f t="shared" ca="1" si="5"/>
        <v>0</v>
      </c>
    </row>
    <row r="355" spans="1:4" x14ac:dyDescent="0.4">
      <c r="A355" s="79">
        <f>'Trial Balance Dump'!B359</f>
        <v>0</v>
      </c>
      <c r="B355" s="34" cm="1">
        <f t="array" aca="1" ref="B355" ca="1">IFERROR(SEARCH(INDIRECT(CELL("address")),A355),0)</f>
        <v>1</v>
      </c>
      <c r="C355" s="34">
        <f ca="1">IF(B355=0,"",COUNTIF($B$2:B355,"&gt;0"))</f>
        <v>354</v>
      </c>
      <c r="D355" s="34">
        <f t="shared" ca="1" si="5"/>
        <v>0</v>
      </c>
    </row>
    <row r="356" spans="1:4" x14ac:dyDescent="0.4">
      <c r="A356" s="79">
        <f>'Trial Balance Dump'!B360</f>
        <v>0</v>
      </c>
      <c r="B356" s="34" cm="1">
        <f t="array" aca="1" ref="B356" ca="1">IFERROR(SEARCH(INDIRECT(CELL("address")),A356),0)</f>
        <v>1</v>
      </c>
      <c r="C356" s="34">
        <f ca="1">IF(B356=0,"",COUNTIF($B$2:B356,"&gt;0"))</f>
        <v>355</v>
      </c>
      <c r="D356" s="34">
        <f t="shared" ca="1" si="5"/>
        <v>0</v>
      </c>
    </row>
    <row r="357" spans="1:4" x14ac:dyDescent="0.4">
      <c r="A357" s="79">
        <f>'Trial Balance Dump'!B361</f>
        <v>0</v>
      </c>
      <c r="B357" s="34" cm="1">
        <f t="array" aca="1" ref="B357" ca="1">IFERROR(SEARCH(INDIRECT(CELL("address")),A357),0)</f>
        <v>1</v>
      </c>
      <c r="C357" s="34">
        <f ca="1">IF(B357=0,"",COUNTIF($B$2:B357,"&gt;0"))</f>
        <v>356</v>
      </c>
      <c r="D357" s="34">
        <f t="shared" ca="1" si="5"/>
        <v>0</v>
      </c>
    </row>
    <row r="358" spans="1:4" x14ac:dyDescent="0.4">
      <c r="A358" s="79">
        <f>'Trial Balance Dump'!B362</f>
        <v>0</v>
      </c>
      <c r="B358" s="34" cm="1">
        <f t="array" aca="1" ref="B358" ca="1">IFERROR(SEARCH(INDIRECT(CELL("address")),A358),0)</f>
        <v>1</v>
      </c>
      <c r="C358" s="34">
        <f ca="1">IF(B358=0,"",COUNTIF($B$2:B358,"&gt;0"))</f>
        <v>357</v>
      </c>
      <c r="D358" s="34">
        <f t="shared" ca="1" si="5"/>
        <v>0</v>
      </c>
    </row>
    <row r="359" spans="1:4" x14ac:dyDescent="0.4">
      <c r="A359" s="79">
        <f>'Trial Balance Dump'!B363</f>
        <v>0</v>
      </c>
      <c r="B359" s="34" cm="1">
        <f t="array" aca="1" ref="B359" ca="1">IFERROR(SEARCH(INDIRECT(CELL("address")),A359),0)</f>
        <v>1</v>
      </c>
      <c r="C359" s="34">
        <f ca="1">IF(B359=0,"",COUNTIF($B$2:B359,"&gt;0"))</f>
        <v>358</v>
      </c>
      <c r="D359" s="34">
        <f t="shared" ca="1" si="5"/>
        <v>0</v>
      </c>
    </row>
    <row r="360" spans="1:4" x14ac:dyDescent="0.4">
      <c r="A360" s="79">
        <f>'Trial Balance Dump'!B364</f>
        <v>0</v>
      </c>
      <c r="B360" s="34" cm="1">
        <f t="array" aca="1" ref="B360" ca="1">IFERROR(SEARCH(INDIRECT(CELL("address")),A360),0)</f>
        <v>1</v>
      </c>
      <c r="C360" s="34">
        <f ca="1">IF(B360=0,"",COUNTIF($B$2:B360,"&gt;0"))</f>
        <v>359</v>
      </c>
      <c r="D360" s="34">
        <f t="shared" ca="1" si="5"/>
        <v>0</v>
      </c>
    </row>
    <row r="361" spans="1:4" x14ac:dyDescent="0.4">
      <c r="A361" s="79">
        <f>'Trial Balance Dump'!B365</f>
        <v>0</v>
      </c>
      <c r="B361" s="34" cm="1">
        <f t="array" aca="1" ref="B361" ca="1">IFERROR(SEARCH(INDIRECT(CELL("address")),A361),0)</f>
        <v>1</v>
      </c>
      <c r="C361" s="34">
        <f ca="1">IF(B361=0,"",COUNTIF($B$2:B361,"&gt;0"))</f>
        <v>360</v>
      </c>
      <c r="D361" s="34">
        <f t="shared" ca="1" si="5"/>
        <v>0</v>
      </c>
    </row>
    <row r="362" spans="1:4" x14ac:dyDescent="0.4">
      <c r="A362" s="79">
        <f>'Trial Balance Dump'!B366</f>
        <v>0</v>
      </c>
      <c r="B362" s="34" cm="1">
        <f t="array" aca="1" ref="B362" ca="1">IFERROR(SEARCH(INDIRECT(CELL("address")),A362),0)</f>
        <v>1</v>
      </c>
      <c r="C362" s="34">
        <f ca="1">IF(B362=0,"",COUNTIF($B$2:B362,"&gt;0"))</f>
        <v>361</v>
      </c>
      <c r="D362" s="34">
        <f t="shared" ca="1" si="5"/>
        <v>0</v>
      </c>
    </row>
    <row r="363" spans="1:4" x14ac:dyDescent="0.4">
      <c r="A363" s="79">
        <f>'Trial Balance Dump'!B367</f>
        <v>0</v>
      </c>
      <c r="B363" s="34" cm="1">
        <f t="array" aca="1" ref="B363" ca="1">IFERROR(SEARCH(INDIRECT(CELL("address")),A363),0)</f>
        <v>1</v>
      </c>
      <c r="C363" s="34">
        <f ca="1">IF(B363=0,"",COUNTIF($B$2:B363,"&gt;0"))</f>
        <v>362</v>
      </c>
      <c r="D363" s="34">
        <f t="shared" ca="1" si="5"/>
        <v>0</v>
      </c>
    </row>
    <row r="364" spans="1:4" x14ac:dyDescent="0.4">
      <c r="A364" s="79">
        <f>'Trial Balance Dump'!B368</f>
        <v>0</v>
      </c>
      <c r="B364" s="34" cm="1">
        <f t="array" aca="1" ref="B364" ca="1">IFERROR(SEARCH(INDIRECT(CELL("address")),A364),0)</f>
        <v>1</v>
      </c>
      <c r="C364" s="34">
        <f ca="1">IF(B364=0,"",COUNTIF($B$2:B364,"&gt;0"))</f>
        <v>363</v>
      </c>
      <c r="D364" s="34">
        <f t="shared" ca="1" si="5"/>
        <v>0</v>
      </c>
    </row>
    <row r="365" spans="1:4" x14ac:dyDescent="0.4">
      <c r="A365" s="79">
        <f>'Trial Balance Dump'!B369</f>
        <v>0</v>
      </c>
      <c r="B365" s="34" cm="1">
        <f t="array" aca="1" ref="B365" ca="1">IFERROR(SEARCH(INDIRECT(CELL("address")),A365),0)</f>
        <v>1</v>
      </c>
      <c r="C365" s="34">
        <f ca="1">IF(B365=0,"",COUNTIF($B$2:B365,"&gt;0"))</f>
        <v>364</v>
      </c>
      <c r="D365" s="34">
        <f t="shared" ca="1" si="5"/>
        <v>0</v>
      </c>
    </row>
    <row r="366" spans="1:4" x14ac:dyDescent="0.4">
      <c r="A366" s="79">
        <f>'Trial Balance Dump'!B370</f>
        <v>0</v>
      </c>
      <c r="B366" s="34" cm="1">
        <f t="array" aca="1" ref="B366" ca="1">IFERROR(SEARCH(INDIRECT(CELL("address")),A366),0)</f>
        <v>1</v>
      </c>
      <c r="C366" s="34">
        <f ca="1">IF(B366=0,"",COUNTIF($B$2:B366,"&gt;0"))</f>
        <v>365</v>
      </c>
      <c r="D366" s="34">
        <f t="shared" ca="1" si="5"/>
        <v>0</v>
      </c>
    </row>
    <row r="367" spans="1:4" x14ac:dyDescent="0.4">
      <c r="A367" s="79">
        <f>'Trial Balance Dump'!B371</f>
        <v>0</v>
      </c>
      <c r="B367" s="34" cm="1">
        <f t="array" aca="1" ref="B367" ca="1">IFERROR(SEARCH(INDIRECT(CELL("address")),A367),0)</f>
        <v>1</v>
      </c>
      <c r="C367" s="34">
        <f ca="1">IF(B367=0,"",COUNTIF($B$2:B367,"&gt;0"))</f>
        <v>366</v>
      </c>
      <c r="D367" s="34">
        <f t="shared" ca="1" si="5"/>
        <v>0</v>
      </c>
    </row>
    <row r="368" spans="1:4" x14ac:dyDescent="0.4">
      <c r="A368" s="79">
        <f>'Trial Balance Dump'!B372</f>
        <v>0</v>
      </c>
      <c r="B368" s="34" cm="1">
        <f t="array" aca="1" ref="B368" ca="1">IFERROR(SEARCH(INDIRECT(CELL("address")),A368),0)</f>
        <v>1</v>
      </c>
      <c r="C368" s="34">
        <f ca="1">IF(B368=0,"",COUNTIF($B$2:B368,"&gt;0"))</f>
        <v>367</v>
      </c>
      <c r="D368" s="34">
        <f t="shared" ca="1" si="5"/>
        <v>0</v>
      </c>
    </row>
    <row r="369" spans="1:4" x14ac:dyDescent="0.4">
      <c r="A369" s="79">
        <f>'Trial Balance Dump'!B373</f>
        <v>0</v>
      </c>
      <c r="B369" s="34" cm="1">
        <f t="array" aca="1" ref="B369" ca="1">IFERROR(SEARCH(INDIRECT(CELL("address")),A369),0)</f>
        <v>1</v>
      </c>
      <c r="C369" s="34">
        <f ca="1">IF(B369=0,"",COUNTIF($B$2:B369,"&gt;0"))</f>
        <v>368</v>
      </c>
      <c r="D369" s="34">
        <f t="shared" ca="1" si="5"/>
        <v>0</v>
      </c>
    </row>
    <row r="370" spans="1:4" x14ac:dyDescent="0.4">
      <c r="A370" s="79">
        <f>'Trial Balance Dump'!B374</f>
        <v>0</v>
      </c>
      <c r="B370" s="34" cm="1">
        <f t="array" aca="1" ref="B370" ca="1">IFERROR(SEARCH(INDIRECT(CELL("address")),A370),0)</f>
        <v>1</v>
      </c>
      <c r="C370" s="34">
        <f ca="1">IF(B370=0,"",COUNTIF($B$2:B370,"&gt;0"))</f>
        <v>369</v>
      </c>
      <c r="D370" s="34">
        <f t="shared" ca="1" si="5"/>
        <v>0</v>
      </c>
    </row>
    <row r="371" spans="1:4" x14ac:dyDescent="0.4">
      <c r="A371" s="79">
        <f>'Trial Balance Dump'!B375</f>
        <v>0</v>
      </c>
      <c r="B371" s="34" cm="1">
        <f t="array" aca="1" ref="B371" ca="1">IFERROR(SEARCH(INDIRECT(CELL("address")),A371),0)</f>
        <v>1</v>
      </c>
      <c r="C371" s="34">
        <f ca="1">IF(B371=0,"",COUNTIF($B$2:B371,"&gt;0"))</f>
        <v>370</v>
      </c>
      <c r="D371" s="34">
        <f t="shared" ca="1" si="5"/>
        <v>0</v>
      </c>
    </row>
    <row r="372" spans="1:4" x14ac:dyDescent="0.4">
      <c r="A372" s="79">
        <f>'Trial Balance Dump'!B376</f>
        <v>0</v>
      </c>
      <c r="B372" s="34" cm="1">
        <f t="array" aca="1" ref="B372" ca="1">IFERROR(SEARCH(INDIRECT(CELL("address")),A372),0)</f>
        <v>1</v>
      </c>
      <c r="C372" s="34">
        <f ca="1">IF(B372=0,"",COUNTIF($B$2:B372,"&gt;0"))</f>
        <v>371</v>
      </c>
      <c r="D372" s="34">
        <f t="shared" ca="1" si="5"/>
        <v>0</v>
      </c>
    </row>
    <row r="373" spans="1:4" x14ac:dyDescent="0.4">
      <c r="A373" s="79">
        <f>'Trial Balance Dump'!B377</f>
        <v>0</v>
      </c>
      <c r="B373" s="34" cm="1">
        <f t="array" aca="1" ref="B373" ca="1">IFERROR(SEARCH(INDIRECT(CELL("address")),A373),0)</f>
        <v>1</v>
      </c>
      <c r="C373" s="34">
        <f ca="1">IF(B373=0,"",COUNTIF($B$2:B373,"&gt;0"))</f>
        <v>372</v>
      </c>
      <c r="D373" s="34">
        <f t="shared" ca="1" si="5"/>
        <v>0</v>
      </c>
    </row>
    <row r="374" spans="1:4" x14ac:dyDescent="0.4">
      <c r="A374" s="79">
        <f>'Trial Balance Dump'!B378</f>
        <v>0</v>
      </c>
      <c r="B374" s="34" cm="1">
        <f t="array" aca="1" ref="B374" ca="1">IFERROR(SEARCH(INDIRECT(CELL("address")),A374),0)</f>
        <v>1</v>
      </c>
      <c r="C374" s="34">
        <f ca="1">IF(B374=0,"",COUNTIF($B$2:B374,"&gt;0"))</f>
        <v>373</v>
      </c>
      <c r="D374" s="34">
        <f t="shared" ca="1" si="5"/>
        <v>0</v>
      </c>
    </row>
    <row r="375" spans="1:4" x14ac:dyDescent="0.4">
      <c r="A375" s="79">
        <f>'Trial Balance Dump'!B379</f>
        <v>0</v>
      </c>
      <c r="B375" s="34" cm="1">
        <f t="array" aca="1" ref="B375" ca="1">IFERROR(SEARCH(INDIRECT(CELL("address")),A375),0)</f>
        <v>1</v>
      </c>
      <c r="C375" s="34">
        <f ca="1">IF(B375=0,"",COUNTIF($B$2:B375,"&gt;0"))</f>
        <v>374</v>
      </c>
      <c r="D375" s="34">
        <f t="shared" ca="1" si="5"/>
        <v>0</v>
      </c>
    </row>
    <row r="376" spans="1:4" x14ac:dyDescent="0.4">
      <c r="A376" s="79">
        <f>'Trial Balance Dump'!B380</f>
        <v>0</v>
      </c>
      <c r="B376" s="34" cm="1">
        <f t="array" aca="1" ref="B376" ca="1">IFERROR(SEARCH(INDIRECT(CELL("address")),A376),0)</f>
        <v>1</v>
      </c>
      <c r="C376" s="34">
        <f ca="1">IF(B376=0,"",COUNTIF($B$2:B376,"&gt;0"))</f>
        <v>375</v>
      </c>
      <c r="D376" s="34">
        <f t="shared" ca="1" si="5"/>
        <v>0</v>
      </c>
    </row>
    <row r="377" spans="1:4" x14ac:dyDescent="0.4">
      <c r="A377" s="79">
        <f>'Trial Balance Dump'!B381</f>
        <v>0</v>
      </c>
      <c r="B377" s="34" cm="1">
        <f t="array" aca="1" ref="B377" ca="1">IFERROR(SEARCH(INDIRECT(CELL("address")),A377),0)</f>
        <v>1</v>
      </c>
      <c r="C377" s="34">
        <f ca="1">IF(B377=0,"",COUNTIF($B$2:B377,"&gt;0"))</f>
        <v>376</v>
      </c>
      <c r="D377" s="34">
        <f t="shared" ca="1" si="5"/>
        <v>0</v>
      </c>
    </row>
    <row r="378" spans="1:4" x14ac:dyDescent="0.4">
      <c r="A378" s="79">
        <f>'Trial Balance Dump'!B382</f>
        <v>0</v>
      </c>
      <c r="B378" s="34" cm="1">
        <f t="array" aca="1" ref="B378" ca="1">IFERROR(SEARCH(INDIRECT(CELL("address")),A378),0)</f>
        <v>1</v>
      </c>
      <c r="C378" s="34">
        <f ca="1">IF(B378=0,"",COUNTIF($B$2:B378,"&gt;0"))</f>
        <v>377</v>
      </c>
      <c r="D378" s="34">
        <f t="shared" ca="1" si="5"/>
        <v>0</v>
      </c>
    </row>
    <row r="379" spans="1:4" x14ac:dyDescent="0.4">
      <c r="A379" s="79">
        <f>'Trial Balance Dump'!B383</f>
        <v>0</v>
      </c>
      <c r="B379" s="34" cm="1">
        <f t="array" aca="1" ref="B379" ca="1">IFERROR(SEARCH(INDIRECT(CELL("address")),A379),0)</f>
        <v>1</v>
      </c>
      <c r="C379" s="34">
        <f ca="1">IF(B379=0,"",COUNTIF($B$2:B379,"&gt;0"))</f>
        <v>378</v>
      </c>
      <c r="D379" s="34">
        <f t="shared" ca="1" si="5"/>
        <v>0</v>
      </c>
    </row>
    <row r="380" spans="1:4" x14ac:dyDescent="0.4">
      <c r="A380" s="79">
        <f>'Trial Balance Dump'!B384</f>
        <v>0</v>
      </c>
      <c r="B380" s="34" cm="1">
        <f t="array" aca="1" ref="B380" ca="1">IFERROR(SEARCH(INDIRECT(CELL("address")),A380),0)</f>
        <v>1</v>
      </c>
      <c r="C380" s="34">
        <f ca="1">IF(B380=0,"",COUNTIF($B$2:B380,"&gt;0"))</f>
        <v>379</v>
      </c>
      <c r="D380" s="34">
        <f t="shared" ca="1" si="5"/>
        <v>0</v>
      </c>
    </row>
    <row r="381" spans="1:4" x14ac:dyDescent="0.4">
      <c r="A381" s="79">
        <f>'Trial Balance Dump'!B385</f>
        <v>0</v>
      </c>
      <c r="B381" s="34" cm="1">
        <f t="array" aca="1" ref="B381" ca="1">IFERROR(SEARCH(INDIRECT(CELL("address")),A381),0)</f>
        <v>1</v>
      </c>
      <c r="C381" s="34">
        <f ca="1">IF(B381=0,"",COUNTIF($B$2:B381,"&gt;0"))</f>
        <v>380</v>
      </c>
      <c r="D381" s="34">
        <f t="shared" ca="1" si="5"/>
        <v>0</v>
      </c>
    </row>
    <row r="382" spans="1:4" x14ac:dyDescent="0.4">
      <c r="A382" s="79">
        <f>'Trial Balance Dump'!B386</f>
        <v>0</v>
      </c>
      <c r="B382" s="34" cm="1">
        <f t="array" aca="1" ref="B382" ca="1">IFERROR(SEARCH(INDIRECT(CELL("address")),A382),0)</f>
        <v>1</v>
      </c>
      <c r="C382" s="34">
        <f ca="1">IF(B382=0,"",COUNTIF($B$2:B382,"&gt;0"))</f>
        <v>381</v>
      </c>
      <c r="D382" s="34">
        <f t="shared" ca="1" si="5"/>
        <v>0</v>
      </c>
    </row>
    <row r="383" spans="1:4" x14ac:dyDescent="0.4">
      <c r="A383" s="79">
        <f>'Trial Balance Dump'!B387</f>
        <v>0</v>
      </c>
      <c r="B383" s="34" cm="1">
        <f t="array" aca="1" ref="B383" ca="1">IFERROR(SEARCH(INDIRECT(CELL("address")),A383),0)</f>
        <v>1</v>
      </c>
      <c r="C383" s="34">
        <f ca="1">IF(B383=0,"",COUNTIF($B$2:B383,"&gt;0"))</f>
        <v>382</v>
      </c>
      <c r="D383" s="34">
        <f t="shared" ca="1" si="5"/>
        <v>0</v>
      </c>
    </row>
    <row r="384" spans="1:4" x14ac:dyDescent="0.4">
      <c r="A384" s="79">
        <f>'Trial Balance Dump'!B388</f>
        <v>0</v>
      </c>
      <c r="B384" s="34" cm="1">
        <f t="array" aca="1" ref="B384" ca="1">IFERROR(SEARCH(INDIRECT(CELL("address")),A384),0)</f>
        <v>1</v>
      </c>
      <c r="C384" s="34">
        <f ca="1">IF(B384=0,"",COUNTIF($B$2:B384,"&gt;0"))</f>
        <v>383</v>
      </c>
      <c r="D384" s="34">
        <f t="shared" ca="1" si="5"/>
        <v>0</v>
      </c>
    </row>
    <row r="385" spans="1:4" x14ac:dyDescent="0.4">
      <c r="A385" s="79">
        <f>'Trial Balance Dump'!B389</f>
        <v>0</v>
      </c>
      <c r="B385" s="34" cm="1">
        <f t="array" aca="1" ref="B385" ca="1">IFERROR(SEARCH(INDIRECT(CELL("address")),A385),0)</f>
        <v>1</v>
      </c>
      <c r="C385" s="34">
        <f ca="1">IF(B385=0,"",COUNTIF($B$2:B385,"&gt;0"))</f>
        <v>384</v>
      </c>
      <c r="D385" s="34">
        <f t="shared" ca="1" si="5"/>
        <v>0</v>
      </c>
    </row>
    <row r="386" spans="1:4" x14ac:dyDescent="0.4">
      <c r="A386" s="79">
        <f>'Trial Balance Dump'!B390</f>
        <v>0</v>
      </c>
      <c r="B386" s="34" cm="1">
        <f t="array" aca="1" ref="B386" ca="1">IFERROR(SEARCH(INDIRECT(CELL("address")),A386),0)</f>
        <v>1</v>
      </c>
      <c r="C386" s="34">
        <f ca="1">IF(B386=0,"",COUNTIF($B$2:B386,"&gt;0"))</f>
        <v>385</v>
      </c>
      <c r="D386" s="34">
        <f t="shared" ca="1" si="5"/>
        <v>0</v>
      </c>
    </row>
    <row r="387" spans="1:4" x14ac:dyDescent="0.4">
      <c r="A387" s="79">
        <f>'Trial Balance Dump'!B391</f>
        <v>0</v>
      </c>
      <c r="B387" s="34" cm="1">
        <f t="array" aca="1" ref="B387" ca="1">IFERROR(SEARCH(INDIRECT(CELL("address")),A387),0)</f>
        <v>1</v>
      </c>
      <c r="C387" s="34">
        <f ca="1">IF(B387=0,"",COUNTIF($B$2:B387,"&gt;0"))</f>
        <v>386</v>
      </c>
      <c r="D387" s="34">
        <f t="shared" ref="D387:D450" ca="1" si="6">IFERROR(INDEX(A:A,MATCH(ROW(B386),C:C,0)),"")</f>
        <v>0</v>
      </c>
    </row>
    <row r="388" spans="1:4" x14ac:dyDescent="0.4">
      <c r="A388" s="79">
        <f>'Trial Balance Dump'!B392</f>
        <v>0</v>
      </c>
      <c r="B388" s="34" cm="1">
        <f t="array" aca="1" ref="B388" ca="1">IFERROR(SEARCH(INDIRECT(CELL("address")),A388),0)</f>
        <v>1</v>
      </c>
      <c r="C388" s="34">
        <f ca="1">IF(B388=0,"",COUNTIF($B$2:B388,"&gt;0"))</f>
        <v>387</v>
      </c>
      <c r="D388" s="34">
        <f t="shared" ca="1" si="6"/>
        <v>0</v>
      </c>
    </row>
    <row r="389" spans="1:4" x14ac:dyDescent="0.4">
      <c r="A389" s="79">
        <f>'Trial Balance Dump'!B393</f>
        <v>0</v>
      </c>
      <c r="B389" s="34" cm="1">
        <f t="array" aca="1" ref="B389" ca="1">IFERROR(SEARCH(INDIRECT(CELL("address")),A389),0)</f>
        <v>1</v>
      </c>
      <c r="C389" s="34">
        <f ca="1">IF(B389=0,"",COUNTIF($B$2:B389,"&gt;0"))</f>
        <v>388</v>
      </c>
      <c r="D389" s="34">
        <f t="shared" ca="1" si="6"/>
        <v>0</v>
      </c>
    </row>
    <row r="390" spans="1:4" x14ac:dyDescent="0.4">
      <c r="A390" s="79">
        <f>'Trial Balance Dump'!B394</f>
        <v>0</v>
      </c>
      <c r="B390" s="34" cm="1">
        <f t="array" aca="1" ref="B390" ca="1">IFERROR(SEARCH(INDIRECT(CELL("address")),A390),0)</f>
        <v>1</v>
      </c>
      <c r="C390" s="34">
        <f ca="1">IF(B390=0,"",COUNTIF($B$2:B390,"&gt;0"))</f>
        <v>389</v>
      </c>
      <c r="D390" s="34">
        <f t="shared" ca="1" si="6"/>
        <v>0</v>
      </c>
    </row>
    <row r="391" spans="1:4" x14ac:dyDescent="0.4">
      <c r="A391" s="79">
        <f>'Trial Balance Dump'!B395</f>
        <v>0</v>
      </c>
      <c r="B391" s="34" cm="1">
        <f t="array" aca="1" ref="B391" ca="1">IFERROR(SEARCH(INDIRECT(CELL("address")),A391),0)</f>
        <v>1</v>
      </c>
      <c r="C391" s="34">
        <f ca="1">IF(B391=0,"",COUNTIF($B$2:B391,"&gt;0"))</f>
        <v>390</v>
      </c>
      <c r="D391" s="34">
        <f t="shared" ca="1" si="6"/>
        <v>0</v>
      </c>
    </row>
    <row r="392" spans="1:4" x14ac:dyDescent="0.4">
      <c r="A392" s="79">
        <f>'Trial Balance Dump'!B396</f>
        <v>0</v>
      </c>
      <c r="B392" s="34" cm="1">
        <f t="array" aca="1" ref="B392" ca="1">IFERROR(SEARCH(INDIRECT(CELL("address")),A392),0)</f>
        <v>1</v>
      </c>
      <c r="C392" s="34">
        <f ca="1">IF(B392=0,"",COUNTIF($B$2:B392,"&gt;0"))</f>
        <v>391</v>
      </c>
      <c r="D392" s="34">
        <f t="shared" ca="1" si="6"/>
        <v>0</v>
      </c>
    </row>
    <row r="393" spans="1:4" x14ac:dyDescent="0.4">
      <c r="A393" s="79">
        <f>'Trial Balance Dump'!B397</f>
        <v>0</v>
      </c>
      <c r="B393" s="34" cm="1">
        <f t="array" aca="1" ref="B393" ca="1">IFERROR(SEARCH(INDIRECT(CELL("address")),A393),0)</f>
        <v>1</v>
      </c>
      <c r="C393" s="34">
        <f ca="1">IF(B393=0,"",COUNTIF($B$2:B393,"&gt;0"))</f>
        <v>392</v>
      </c>
      <c r="D393" s="34">
        <f t="shared" ca="1" si="6"/>
        <v>0</v>
      </c>
    </row>
    <row r="394" spans="1:4" x14ac:dyDescent="0.4">
      <c r="A394" s="79">
        <f>'Trial Balance Dump'!B398</f>
        <v>0</v>
      </c>
      <c r="B394" s="34" cm="1">
        <f t="array" aca="1" ref="B394" ca="1">IFERROR(SEARCH(INDIRECT(CELL("address")),A394),0)</f>
        <v>1</v>
      </c>
      <c r="C394" s="34">
        <f ca="1">IF(B394=0,"",COUNTIF($B$2:B394,"&gt;0"))</f>
        <v>393</v>
      </c>
      <c r="D394" s="34">
        <f t="shared" ca="1" si="6"/>
        <v>0</v>
      </c>
    </row>
    <row r="395" spans="1:4" x14ac:dyDescent="0.4">
      <c r="A395" s="79">
        <f>'Trial Balance Dump'!B399</f>
        <v>0</v>
      </c>
      <c r="B395" s="34" cm="1">
        <f t="array" aca="1" ref="B395" ca="1">IFERROR(SEARCH(INDIRECT(CELL("address")),A395),0)</f>
        <v>1</v>
      </c>
      <c r="C395" s="34">
        <f ca="1">IF(B395=0,"",COUNTIF($B$2:B395,"&gt;0"))</f>
        <v>394</v>
      </c>
      <c r="D395" s="34">
        <f t="shared" ca="1" si="6"/>
        <v>0</v>
      </c>
    </row>
    <row r="396" spans="1:4" x14ac:dyDescent="0.4">
      <c r="A396" s="79">
        <f>'Trial Balance Dump'!B400</f>
        <v>0</v>
      </c>
      <c r="B396" s="34" cm="1">
        <f t="array" aca="1" ref="B396" ca="1">IFERROR(SEARCH(INDIRECT(CELL("address")),A396),0)</f>
        <v>1</v>
      </c>
      <c r="C396" s="34">
        <f ca="1">IF(B396=0,"",COUNTIF($B$2:B396,"&gt;0"))</f>
        <v>395</v>
      </c>
      <c r="D396" s="34">
        <f t="shared" ca="1" si="6"/>
        <v>0</v>
      </c>
    </row>
    <row r="397" spans="1:4" x14ac:dyDescent="0.4">
      <c r="A397" s="79">
        <f>'Trial Balance Dump'!B401</f>
        <v>0</v>
      </c>
      <c r="B397" s="34" cm="1">
        <f t="array" aca="1" ref="B397" ca="1">IFERROR(SEARCH(INDIRECT(CELL("address")),A397),0)</f>
        <v>1</v>
      </c>
      <c r="C397" s="34">
        <f ca="1">IF(B397=0,"",COUNTIF($B$2:B397,"&gt;0"))</f>
        <v>396</v>
      </c>
      <c r="D397" s="34">
        <f t="shared" ca="1" si="6"/>
        <v>0</v>
      </c>
    </row>
    <row r="398" spans="1:4" x14ac:dyDescent="0.4">
      <c r="A398" s="79">
        <f>'Trial Balance Dump'!B402</f>
        <v>0</v>
      </c>
      <c r="B398" s="34" cm="1">
        <f t="array" aca="1" ref="B398" ca="1">IFERROR(SEARCH(INDIRECT(CELL("address")),A398),0)</f>
        <v>1</v>
      </c>
      <c r="C398" s="34">
        <f ca="1">IF(B398=0,"",COUNTIF($B$2:B398,"&gt;0"))</f>
        <v>397</v>
      </c>
      <c r="D398" s="34">
        <f t="shared" ca="1" si="6"/>
        <v>0</v>
      </c>
    </row>
    <row r="399" spans="1:4" x14ac:dyDescent="0.4">
      <c r="A399" s="79">
        <f>'Trial Balance Dump'!B403</f>
        <v>0</v>
      </c>
      <c r="B399" s="34" cm="1">
        <f t="array" aca="1" ref="B399" ca="1">IFERROR(SEARCH(INDIRECT(CELL("address")),A399),0)</f>
        <v>1</v>
      </c>
      <c r="C399" s="34">
        <f ca="1">IF(B399=0,"",COUNTIF($B$2:B399,"&gt;0"))</f>
        <v>398</v>
      </c>
      <c r="D399" s="34">
        <f t="shared" ca="1" si="6"/>
        <v>0</v>
      </c>
    </row>
    <row r="400" spans="1:4" x14ac:dyDescent="0.4">
      <c r="A400" s="79">
        <f>'Trial Balance Dump'!B404</f>
        <v>0</v>
      </c>
      <c r="B400" s="34" cm="1">
        <f t="array" aca="1" ref="B400" ca="1">IFERROR(SEARCH(INDIRECT(CELL("address")),A400),0)</f>
        <v>1</v>
      </c>
      <c r="C400" s="34">
        <f ca="1">IF(B400=0,"",COUNTIF($B$2:B400,"&gt;0"))</f>
        <v>399</v>
      </c>
      <c r="D400" s="34">
        <f t="shared" ca="1" si="6"/>
        <v>0</v>
      </c>
    </row>
    <row r="401" spans="1:4" x14ac:dyDescent="0.4">
      <c r="A401" s="79">
        <f>'Trial Balance Dump'!B405</f>
        <v>0</v>
      </c>
      <c r="B401" s="34" cm="1">
        <f t="array" aca="1" ref="B401" ca="1">IFERROR(SEARCH(INDIRECT(CELL("address")),A401),0)</f>
        <v>1</v>
      </c>
      <c r="C401" s="34">
        <f ca="1">IF(B401=0,"",COUNTIF($B$2:B401,"&gt;0"))</f>
        <v>400</v>
      </c>
      <c r="D401" s="34">
        <f t="shared" ca="1" si="6"/>
        <v>0</v>
      </c>
    </row>
    <row r="402" spans="1:4" x14ac:dyDescent="0.4">
      <c r="A402" s="79">
        <f>'Trial Balance Dump'!B406</f>
        <v>0</v>
      </c>
      <c r="B402" s="34" cm="1">
        <f t="array" aca="1" ref="B402" ca="1">IFERROR(SEARCH(INDIRECT(CELL("address")),A402),0)</f>
        <v>1</v>
      </c>
      <c r="C402" s="34">
        <f ca="1">IF(B402=0,"",COUNTIF($B$2:B402,"&gt;0"))</f>
        <v>401</v>
      </c>
      <c r="D402" s="34">
        <f t="shared" ca="1" si="6"/>
        <v>0</v>
      </c>
    </row>
    <row r="403" spans="1:4" x14ac:dyDescent="0.4">
      <c r="A403" s="79">
        <f>'Trial Balance Dump'!B407</f>
        <v>0</v>
      </c>
      <c r="B403" s="34" cm="1">
        <f t="array" aca="1" ref="B403" ca="1">IFERROR(SEARCH(INDIRECT(CELL("address")),A403),0)</f>
        <v>1</v>
      </c>
      <c r="C403" s="34">
        <f ca="1">IF(B403=0,"",COUNTIF($B$2:B403,"&gt;0"))</f>
        <v>402</v>
      </c>
      <c r="D403" s="34">
        <f t="shared" ca="1" si="6"/>
        <v>0</v>
      </c>
    </row>
    <row r="404" spans="1:4" x14ac:dyDescent="0.4">
      <c r="A404" s="79">
        <f>'Trial Balance Dump'!B408</f>
        <v>0</v>
      </c>
      <c r="B404" s="34" cm="1">
        <f t="array" aca="1" ref="B404" ca="1">IFERROR(SEARCH(INDIRECT(CELL("address")),A404),0)</f>
        <v>1</v>
      </c>
      <c r="C404" s="34">
        <f ca="1">IF(B404=0,"",COUNTIF($B$2:B404,"&gt;0"))</f>
        <v>403</v>
      </c>
      <c r="D404" s="34">
        <f t="shared" ca="1" si="6"/>
        <v>0</v>
      </c>
    </row>
    <row r="405" spans="1:4" x14ac:dyDescent="0.4">
      <c r="A405" s="79">
        <f>'Trial Balance Dump'!B409</f>
        <v>0</v>
      </c>
      <c r="B405" s="34" cm="1">
        <f t="array" aca="1" ref="B405" ca="1">IFERROR(SEARCH(INDIRECT(CELL("address")),A405),0)</f>
        <v>1</v>
      </c>
      <c r="C405" s="34">
        <f ca="1">IF(B405=0,"",COUNTIF($B$2:B405,"&gt;0"))</f>
        <v>404</v>
      </c>
      <c r="D405" s="34">
        <f t="shared" ca="1" si="6"/>
        <v>0</v>
      </c>
    </row>
    <row r="406" spans="1:4" x14ac:dyDescent="0.4">
      <c r="A406" s="79">
        <f>'Trial Balance Dump'!B410</f>
        <v>0</v>
      </c>
      <c r="B406" s="34" cm="1">
        <f t="array" aca="1" ref="B406" ca="1">IFERROR(SEARCH(INDIRECT(CELL("address")),A406),0)</f>
        <v>1</v>
      </c>
      <c r="C406" s="34">
        <f ca="1">IF(B406=0,"",COUNTIF($B$2:B406,"&gt;0"))</f>
        <v>405</v>
      </c>
      <c r="D406" s="34">
        <f t="shared" ca="1" si="6"/>
        <v>0</v>
      </c>
    </row>
    <row r="407" spans="1:4" x14ac:dyDescent="0.4">
      <c r="A407" s="79">
        <f>'Trial Balance Dump'!B411</f>
        <v>0</v>
      </c>
      <c r="B407" s="34" cm="1">
        <f t="array" aca="1" ref="B407" ca="1">IFERROR(SEARCH(INDIRECT(CELL("address")),A407),0)</f>
        <v>1</v>
      </c>
      <c r="C407" s="34">
        <f ca="1">IF(B407=0,"",COUNTIF($B$2:B407,"&gt;0"))</f>
        <v>406</v>
      </c>
      <c r="D407" s="34">
        <f t="shared" ca="1" si="6"/>
        <v>0</v>
      </c>
    </row>
    <row r="408" spans="1:4" x14ac:dyDescent="0.4">
      <c r="A408" s="79">
        <f>'Trial Balance Dump'!B412</f>
        <v>0</v>
      </c>
      <c r="B408" s="34" cm="1">
        <f t="array" aca="1" ref="B408" ca="1">IFERROR(SEARCH(INDIRECT(CELL("address")),A408),0)</f>
        <v>1</v>
      </c>
      <c r="C408" s="34">
        <f ca="1">IF(B408=0,"",COUNTIF($B$2:B408,"&gt;0"))</f>
        <v>407</v>
      </c>
      <c r="D408" s="34">
        <f t="shared" ca="1" si="6"/>
        <v>0</v>
      </c>
    </row>
    <row r="409" spans="1:4" x14ac:dyDescent="0.4">
      <c r="A409" s="79">
        <f>'Trial Balance Dump'!B413</f>
        <v>0</v>
      </c>
      <c r="B409" s="34" cm="1">
        <f t="array" aca="1" ref="B409" ca="1">IFERROR(SEARCH(INDIRECT(CELL("address")),A409),0)</f>
        <v>1</v>
      </c>
      <c r="C409" s="34">
        <f ca="1">IF(B409=0,"",COUNTIF($B$2:B409,"&gt;0"))</f>
        <v>408</v>
      </c>
      <c r="D409" s="34">
        <f t="shared" ca="1" si="6"/>
        <v>0</v>
      </c>
    </row>
    <row r="410" spans="1:4" x14ac:dyDescent="0.4">
      <c r="A410" s="79">
        <f>'Trial Balance Dump'!B414</f>
        <v>0</v>
      </c>
      <c r="B410" s="34" cm="1">
        <f t="array" aca="1" ref="B410" ca="1">IFERROR(SEARCH(INDIRECT(CELL("address")),A410),0)</f>
        <v>1</v>
      </c>
      <c r="C410" s="34">
        <f ca="1">IF(B410=0,"",COUNTIF($B$2:B410,"&gt;0"))</f>
        <v>409</v>
      </c>
      <c r="D410" s="34">
        <f t="shared" ca="1" si="6"/>
        <v>0</v>
      </c>
    </row>
    <row r="411" spans="1:4" x14ac:dyDescent="0.4">
      <c r="A411" s="79">
        <f>'Trial Balance Dump'!B415</f>
        <v>0</v>
      </c>
      <c r="B411" s="34" cm="1">
        <f t="array" aca="1" ref="B411" ca="1">IFERROR(SEARCH(INDIRECT(CELL("address")),A411),0)</f>
        <v>1</v>
      </c>
      <c r="C411" s="34">
        <f ca="1">IF(B411=0,"",COUNTIF($B$2:B411,"&gt;0"))</f>
        <v>410</v>
      </c>
      <c r="D411" s="34">
        <f t="shared" ca="1" si="6"/>
        <v>0</v>
      </c>
    </row>
    <row r="412" spans="1:4" x14ac:dyDescent="0.4">
      <c r="A412" s="79">
        <f>'Trial Balance Dump'!B416</f>
        <v>0</v>
      </c>
      <c r="B412" s="34" cm="1">
        <f t="array" aca="1" ref="B412" ca="1">IFERROR(SEARCH(INDIRECT(CELL("address")),A412),0)</f>
        <v>1</v>
      </c>
      <c r="C412" s="34">
        <f ca="1">IF(B412=0,"",COUNTIF($B$2:B412,"&gt;0"))</f>
        <v>411</v>
      </c>
      <c r="D412" s="34">
        <f t="shared" ca="1" si="6"/>
        <v>0</v>
      </c>
    </row>
    <row r="413" spans="1:4" x14ac:dyDescent="0.4">
      <c r="A413" s="79">
        <f>'Trial Balance Dump'!B417</f>
        <v>0</v>
      </c>
      <c r="B413" s="34" cm="1">
        <f t="array" aca="1" ref="B413" ca="1">IFERROR(SEARCH(INDIRECT(CELL("address")),A413),0)</f>
        <v>1</v>
      </c>
      <c r="C413" s="34">
        <f ca="1">IF(B413=0,"",COUNTIF($B$2:B413,"&gt;0"))</f>
        <v>412</v>
      </c>
      <c r="D413" s="34">
        <f t="shared" ca="1" si="6"/>
        <v>0</v>
      </c>
    </row>
    <row r="414" spans="1:4" x14ac:dyDescent="0.4">
      <c r="A414" s="79">
        <f>'Trial Balance Dump'!B418</f>
        <v>0</v>
      </c>
      <c r="B414" s="34" cm="1">
        <f t="array" aca="1" ref="B414" ca="1">IFERROR(SEARCH(INDIRECT(CELL("address")),A414),0)</f>
        <v>1</v>
      </c>
      <c r="C414" s="34">
        <f ca="1">IF(B414=0,"",COUNTIF($B$2:B414,"&gt;0"))</f>
        <v>413</v>
      </c>
      <c r="D414" s="34">
        <f t="shared" ca="1" si="6"/>
        <v>0</v>
      </c>
    </row>
    <row r="415" spans="1:4" x14ac:dyDescent="0.4">
      <c r="A415" s="79">
        <f>'Trial Balance Dump'!B419</f>
        <v>0</v>
      </c>
      <c r="B415" s="34" cm="1">
        <f t="array" aca="1" ref="B415" ca="1">IFERROR(SEARCH(INDIRECT(CELL("address")),A415),0)</f>
        <v>1</v>
      </c>
      <c r="C415" s="34">
        <f ca="1">IF(B415=0,"",COUNTIF($B$2:B415,"&gt;0"))</f>
        <v>414</v>
      </c>
      <c r="D415" s="34">
        <f t="shared" ca="1" si="6"/>
        <v>0</v>
      </c>
    </row>
    <row r="416" spans="1:4" x14ac:dyDescent="0.4">
      <c r="A416" s="79">
        <f>'Trial Balance Dump'!B420</f>
        <v>0</v>
      </c>
      <c r="B416" s="34" cm="1">
        <f t="array" aca="1" ref="B416" ca="1">IFERROR(SEARCH(INDIRECT(CELL("address")),A416),0)</f>
        <v>1</v>
      </c>
      <c r="C416" s="34">
        <f ca="1">IF(B416=0,"",COUNTIF($B$2:B416,"&gt;0"))</f>
        <v>415</v>
      </c>
      <c r="D416" s="34">
        <f t="shared" ca="1" si="6"/>
        <v>0</v>
      </c>
    </row>
    <row r="417" spans="1:4" x14ac:dyDescent="0.4">
      <c r="A417" s="79">
        <f>'Trial Balance Dump'!B421</f>
        <v>0</v>
      </c>
      <c r="B417" s="34" cm="1">
        <f t="array" aca="1" ref="B417" ca="1">IFERROR(SEARCH(INDIRECT(CELL("address")),A417),0)</f>
        <v>1</v>
      </c>
      <c r="C417" s="34">
        <f ca="1">IF(B417=0,"",COUNTIF($B$2:B417,"&gt;0"))</f>
        <v>416</v>
      </c>
      <c r="D417" s="34">
        <f t="shared" ca="1" si="6"/>
        <v>0</v>
      </c>
    </row>
    <row r="418" spans="1:4" x14ac:dyDescent="0.4">
      <c r="A418" s="79">
        <f>'Trial Balance Dump'!B422</f>
        <v>0</v>
      </c>
      <c r="B418" s="34" cm="1">
        <f t="array" aca="1" ref="B418" ca="1">IFERROR(SEARCH(INDIRECT(CELL("address")),A418),0)</f>
        <v>1</v>
      </c>
      <c r="C418" s="34">
        <f ca="1">IF(B418=0,"",COUNTIF($B$2:B418,"&gt;0"))</f>
        <v>417</v>
      </c>
      <c r="D418" s="34">
        <f t="shared" ca="1" si="6"/>
        <v>0</v>
      </c>
    </row>
    <row r="419" spans="1:4" x14ac:dyDescent="0.4">
      <c r="A419" s="79">
        <f>'Trial Balance Dump'!B423</f>
        <v>0</v>
      </c>
      <c r="B419" s="34" cm="1">
        <f t="array" aca="1" ref="B419" ca="1">IFERROR(SEARCH(INDIRECT(CELL("address")),A419),0)</f>
        <v>1</v>
      </c>
      <c r="C419" s="34">
        <f ca="1">IF(B419=0,"",COUNTIF($B$2:B419,"&gt;0"))</f>
        <v>418</v>
      </c>
      <c r="D419" s="34">
        <f t="shared" ca="1" si="6"/>
        <v>0</v>
      </c>
    </row>
    <row r="420" spans="1:4" x14ac:dyDescent="0.4">
      <c r="A420" s="79">
        <f>'Trial Balance Dump'!B424</f>
        <v>0</v>
      </c>
      <c r="B420" s="34" cm="1">
        <f t="array" aca="1" ref="B420" ca="1">IFERROR(SEARCH(INDIRECT(CELL("address")),A420),0)</f>
        <v>1</v>
      </c>
      <c r="C420" s="34">
        <f ca="1">IF(B420=0,"",COUNTIF($B$2:B420,"&gt;0"))</f>
        <v>419</v>
      </c>
      <c r="D420" s="34">
        <f t="shared" ca="1" si="6"/>
        <v>0</v>
      </c>
    </row>
    <row r="421" spans="1:4" x14ac:dyDescent="0.4">
      <c r="A421" s="79">
        <f>'Trial Balance Dump'!B425</f>
        <v>0</v>
      </c>
      <c r="B421" s="34" cm="1">
        <f t="array" aca="1" ref="B421" ca="1">IFERROR(SEARCH(INDIRECT(CELL("address")),A421),0)</f>
        <v>1</v>
      </c>
      <c r="C421" s="34">
        <f ca="1">IF(B421=0,"",COUNTIF($B$2:B421,"&gt;0"))</f>
        <v>420</v>
      </c>
      <c r="D421" s="34">
        <f t="shared" ca="1" si="6"/>
        <v>0</v>
      </c>
    </row>
    <row r="422" spans="1:4" x14ac:dyDescent="0.4">
      <c r="A422" s="79">
        <f>'Trial Balance Dump'!B426</f>
        <v>0</v>
      </c>
      <c r="B422" s="34" cm="1">
        <f t="array" aca="1" ref="B422" ca="1">IFERROR(SEARCH(INDIRECT(CELL("address")),A422),0)</f>
        <v>1</v>
      </c>
      <c r="C422" s="34">
        <f ca="1">IF(B422=0,"",COUNTIF($B$2:B422,"&gt;0"))</f>
        <v>421</v>
      </c>
      <c r="D422" s="34">
        <f t="shared" ca="1" si="6"/>
        <v>0</v>
      </c>
    </row>
    <row r="423" spans="1:4" x14ac:dyDescent="0.4">
      <c r="A423" s="79">
        <f>'Trial Balance Dump'!B427</f>
        <v>0</v>
      </c>
      <c r="B423" s="34" cm="1">
        <f t="array" aca="1" ref="B423" ca="1">IFERROR(SEARCH(INDIRECT(CELL("address")),A423),0)</f>
        <v>1</v>
      </c>
      <c r="C423" s="34">
        <f ca="1">IF(B423=0,"",COUNTIF($B$2:B423,"&gt;0"))</f>
        <v>422</v>
      </c>
      <c r="D423" s="34">
        <f t="shared" ca="1" si="6"/>
        <v>0</v>
      </c>
    </row>
    <row r="424" spans="1:4" x14ac:dyDescent="0.4">
      <c r="A424" s="79">
        <f>'Trial Balance Dump'!B428</f>
        <v>0</v>
      </c>
      <c r="B424" s="34" cm="1">
        <f t="array" aca="1" ref="B424" ca="1">IFERROR(SEARCH(INDIRECT(CELL("address")),A424),0)</f>
        <v>1</v>
      </c>
      <c r="C424" s="34">
        <f ca="1">IF(B424=0,"",COUNTIF($B$2:B424,"&gt;0"))</f>
        <v>423</v>
      </c>
      <c r="D424" s="34">
        <f t="shared" ca="1" si="6"/>
        <v>0</v>
      </c>
    </row>
    <row r="425" spans="1:4" x14ac:dyDescent="0.4">
      <c r="A425" s="79">
        <f>'Trial Balance Dump'!B429</f>
        <v>0</v>
      </c>
      <c r="B425" s="34" cm="1">
        <f t="array" aca="1" ref="B425" ca="1">IFERROR(SEARCH(INDIRECT(CELL("address")),A425),0)</f>
        <v>1</v>
      </c>
      <c r="C425" s="34">
        <f ca="1">IF(B425=0,"",COUNTIF($B$2:B425,"&gt;0"))</f>
        <v>424</v>
      </c>
      <c r="D425" s="34">
        <f t="shared" ca="1" si="6"/>
        <v>0</v>
      </c>
    </row>
    <row r="426" spans="1:4" x14ac:dyDescent="0.4">
      <c r="A426" s="79">
        <f>'Trial Balance Dump'!B430</f>
        <v>0</v>
      </c>
      <c r="B426" s="34" cm="1">
        <f t="array" aca="1" ref="B426" ca="1">IFERROR(SEARCH(INDIRECT(CELL("address")),A426),0)</f>
        <v>1</v>
      </c>
      <c r="C426" s="34">
        <f ca="1">IF(B426=0,"",COUNTIF($B$2:B426,"&gt;0"))</f>
        <v>425</v>
      </c>
      <c r="D426" s="34">
        <f t="shared" ca="1" si="6"/>
        <v>0</v>
      </c>
    </row>
    <row r="427" spans="1:4" x14ac:dyDescent="0.4">
      <c r="A427" s="79">
        <f>'Trial Balance Dump'!B431</f>
        <v>0</v>
      </c>
      <c r="B427" s="34" cm="1">
        <f t="array" aca="1" ref="B427" ca="1">IFERROR(SEARCH(INDIRECT(CELL("address")),A427),0)</f>
        <v>1</v>
      </c>
      <c r="C427" s="34">
        <f ca="1">IF(B427=0,"",COUNTIF($B$2:B427,"&gt;0"))</f>
        <v>426</v>
      </c>
      <c r="D427" s="34">
        <f t="shared" ca="1" si="6"/>
        <v>0</v>
      </c>
    </row>
    <row r="428" spans="1:4" x14ac:dyDescent="0.4">
      <c r="A428" s="79">
        <f>'Trial Balance Dump'!B432</f>
        <v>0</v>
      </c>
      <c r="B428" s="34" cm="1">
        <f t="array" aca="1" ref="B428" ca="1">IFERROR(SEARCH(INDIRECT(CELL("address")),A428),0)</f>
        <v>1</v>
      </c>
      <c r="C428" s="34">
        <f ca="1">IF(B428=0,"",COUNTIF($B$2:B428,"&gt;0"))</f>
        <v>427</v>
      </c>
      <c r="D428" s="34">
        <f t="shared" ca="1" si="6"/>
        <v>0</v>
      </c>
    </row>
    <row r="429" spans="1:4" x14ac:dyDescent="0.4">
      <c r="A429" s="79">
        <f>'Trial Balance Dump'!B433</f>
        <v>0</v>
      </c>
      <c r="B429" s="34" cm="1">
        <f t="array" aca="1" ref="B429" ca="1">IFERROR(SEARCH(INDIRECT(CELL("address")),A429),0)</f>
        <v>1</v>
      </c>
      <c r="C429" s="34">
        <f ca="1">IF(B429=0,"",COUNTIF($B$2:B429,"&gt;0"))</f>
        <v>428</v>
      </c>
      <c r="D429" s="34">
        <f t="shared" ca="1" si="6"/>
        <v>0</v>
      </c>
    </row>
    <row r="430" spans="1:4" x14ac:dyDescent="0.4">
      <c r="A430" s="79">
        <f>'Trial Balance Dump'!B434</f>
        <v>0</v>
      </c>
      <c r="B430" s="34" cm="1">
        <f t="array" aca="1" ref="B430" ca="1">IFERROR(SEARCH(INDIRECT(CELL("address")),A430),0)</f>
        <v>1</v>
      </c>
      <c r="C430" s="34">
        <f ca="1">IF(B430=0,"",COUNTIF($B$2:B430,"&gt;0"))</f>
        <v>429</v>
      </c>
      <c r="D430" s="34">
        <f t="shared" ca="1" si="6"/>
        <v>0</v>
      </c>
    </row>
    <row r="431" spans="1:4" x14ac:dyDescent="0.4">
      <c r="A431" s="79">
        <f>'Trial Balance Dump'!B435</f>
        <v>0</v>
      </c>
      <c r="B431" s="34" cm="1">
        <f t="array" aca="1" ref="B431" ca="1">IFERROR(SEARCH(INDIRECT(CELL("address")),A431),0)</f>
        <v>1</v>
      </c>
      <c r="C431" s="34">
        <f ca="1">IF(B431=0,"",COUNTIF($B$2:B431,"&gt;0"))</f>
        <v>430</v>
      </c>
      <c r="D431" s="34">
        <f t="shared" ca="1" si="6"/>
        <v>0</v>
      </c>
    </row>
    <row r="432" spans="1:4" x14ac:dyDescent="0.4">
      <c r="A432" s="79">
        <f>'Trial Balance Dump'!B436</f>
        <v>0</v>
      </c>
      <c r="B432" s="34" cm="1">
        <f t="array" aca="1" ref="B432" ca="1">IFERROR(SEARCH(INDIRECT(CELL("address")),A432),0)</f>
        <v>1</v>
      </c>
      <c r="C432" s="34">
        <f ca="1">IF(B432=0,"",COUNTIF($B$2:B432,"&gt;0"))</f>
        <v>431</v>
      </c>
      <c r="D432" s="34">
        <f t="shared" ca="1" si="6"/>
        <v>0</v>
      </c>
    </row>
    <row r="433" spans="1:4" x14ac:dyDescent="0.4">
      <c r="A433" s="79">
        <f>'Trial Balance Dump'!B437</f>
        <v>0</v>
      </c>
      <c r="B433" s="34" cm="1">
        <f t="array" aca="1" ref="B433" ca="1">IFERROR(SEARCH(INDIRECT(CELL("address")),A433),0)</f>
        <v>1</v>
      </c>
      <c r="C433" s="34">
        <f ca="1">IF(B433=0,"",COUNTIF($B$2:B433,"&gt;0"))</f>
        <v>432</v>
      </c>
      <c r="D433" s="34">
        <f t="shared" ca="1" si="6"/>
        <v>0</v>
      </c>
    </row>
    <row r="434" spans="1:4" x14ac:dyDescent="0.4">
      <c r="A434" s="79">
        <f>'Trial Balance Dump'!B438</f>
        <v>0</v>
      </c>
      <c r="B434" s="34" cm="1">
        <f t="array" aca="1" ref="B434" ca="1">IFERROR(SEARCH(INDIRECT(CELL("address")),A434),0)</f>
        <v>1</v>
      </c>
      <c r="C434" s="34">
        <f ca="1">IF(B434=0,"",COUNTIF($B$2:B434,"&gt;0"))</f>
        <v>433</v>
      </c>
      <c r="D434" s="34">
        <f t="shared" ca="1" si="6"/>
        <v>0</v>
      </c>
    </row>
    <row r="435" spans="1:4" x14ac:dyDescent="0.4">
      <c r="A435" s="79">
        <f>'Trial Balance Dump'!B439</f>
        <v>0</v>
      </c>
      <c r="B435" s="34" cm="1">
        <f t="array" aca="1" ref="B435" ca="1">IFERROR(SEARCH(INDIRECT(CELL("address")),A435),0)</f>
        <v>1</v>
      </c>
      <c r="C435" s="34">
        <f ca="1">IF(B435=0,"",COUNTIF($B$2:B435,"&gt;0"))</f>
        <v>434</v>
      </c>
      <c r="D435" s="34">
        <f t="shared" ca="1" si="6"/>
        <v>0</v>
      </c>
    </row>
    <row r="436" spans="1:4" x14ac:dyDescent="0.4">
      <c r="A436" s="79">
        <f>'Trial Balance Dump'!B440</f>
        <v>0</v>
      </c>
      <c r="B436" s="34" cm="1">
        <f t="array" aca="1" ref="B436" ca="1">IFERROR(SEARCH(INDIRECT(CELL("address")),A436),0)</f>
        <v>1</v>
      </c>
      <c r="C436" s="34">
        <f ca="1">IF(B436=0,"",COUNTIF($B$2:B436,"&gt;0"))</f>
        <v>435</v>
      </c>
      <c r="D436" s="34">
        <f t="shared" ca="1" si="6"/>
        <v>0</v>
      </c>
    </row>
    <row r="437" spans="1:4" x14ac:dyDescent="0.4">
      <c r="A437" s="79">
        <f>'Trial Balance Dump'!B441</f>
        <v>0</v>
      </c>
      <c r="B437" s="34" cm="1">
        <f t="array" aca="1" ref="B437" ca="1">IFERROR(SEARCH(INDIRECT(CELL("address")),A437),0)</f>
        <v>1</v>
      </c>
      <c r="C437" s="34">
        <f ca="1">IF(B437=0,"",COUNTIF($B$2:B437,"&gt;0"))</f>
        <v>436</v>
      </c>
      <c r="D437" s="34">
        <f t="shared" ca="1" si="6"/>
        <v>0</v>
      </c>
    </row>
    <row r="438" spans="1:4" x14ac:dyDescent="0.4">
      <c r="A438" s="79">
        <f>'Trial Balance Dump'!B442</f>
        <v>0</v>
      </c>
      <c r="B438" s="34" cm="1">
        <f t="array" aca="1" ref="B438" ca="1">IFERROR(SEARCH(INDIRECT(CELL("address")),A438),0)</f>
        <v>1</v>
      </c>
      <c r="C438" s="34">
        <f ca="1">IF(B438=0,"",COUNTIF($B$2:B438,"&gt;0"))</f>
        <v>437</v>
      </c>
      <c r="D438" s="34">
        <f t="shared" ca="1" si="6"/>
        <v>0</v>
      </c>
    </row>
    <row r="439" spans="1:4" x14ac:dyDescent="0.4">
      <c r="A439" s="79">
        <f>'Trial Balance Dump'!B443</f>
        <v>0</v>
      </c>
      <c r="B439" s="34" cm="1">
        <f t="array" aca="1" ref="B439" ca="1">IFERROR(SEARCH(INDIRECT(CELL("address")),A439),0)</f>
        <v>1</v>
      </c>
      <c r="C439" s="34">
        <f ca="1">IF(B439=0,"",COUNTIF($B$2:B439,"&gt;0"))</f>
        <v>438</v>
      </c>
      <c r="D439" s="34">
        <f t="shared" ca="1" si="6"/>
        <v>0</v>
      </c>
    </row>
    <row r="440" spans="1:4" x14ac:dyDescent="0.4">
      <c r="A440" s="79">
        <f>'Trial Balance Dump'!B444</f>
        <v>0</v>
      </c>
      <c r="B440" s="34" cm="1">
        <f t="array" aca="1" ref="B440" ca="1">IFERROR(SEARCH(INDIRECT(CELL("address")),A440),0)</f>
        <v>1</v>
      </c>
      <c r="C440" s="34">
        <f ca="1">IF(B440=0,"",COUNTIF($B$2:B440,"&gt;0"))</f>
        <v>439</v>
      </c>
      <c r="D440" s="34">
        <f t="shared" ca="1" si="6"/>
        <v>0</v>
      </c>
    </row>
    <row r="441" spans="1:4" x14ac:dyDescent="0.4">
      <c r="A441" s="79">
        <f>'Trial Balance Dump'!B445</f>
        <v>0</v>
      </c>
      <c r="B441" s="34" cm="1">
        <f t="array" aca="1" ref="B441" ca="1">IFERROR(SEARCH(INDIRECT(CELL("address")),A441),0)</f>
        <v>1</v>
      </c>
      <c r="C441" s="34">
        <f ca="1">IF(B441=0,"",COUNTIF($B$2:B441,"&gt;0"))</f>
        <v>440</v>
      </c>
      <c r="D441" s="34">
        <f t="shared" ca="1" si="6"/>
        <v>0</v>
      </c>
    </row>
    <row r="442" spans="1:4" x14ac:dyDescent="0.4">
      <c r="A442" s="79">
        <f>'Trial Balance Dump'!B446</f>
        <v>0</v>
      </c>
      <c r="B442" s="34" cm="1">
        <f t="array" aca="1" ref="B442" ca="1">IFERROR(SEARCH(INDIRECT(CELL("address")),A442),0)</f>
        <v>1</v>
      </c>
      <c r="C442" s="34">
        <f ca="1">IF(B442=0,"",COUNTIF($B$2:B442,"&gt;0"))</f>
        <v>441</v>
      </c>
      <c r="D442" s="34">
        <f t="shared" ca="1" si="6"/>
        <v>0</v>
      </c>
    </row>
    <row r="443" spans="1:4" x14ac:dyDescent="0.4">
      <c r="A443" s="79">
        <f>'Trial Balance Dump'!B447</f>
        <v>0</v>
      </c>
      <c r="B443" s="34" cm="1">
        <f t="array" aca="1" ref="B443" ca="1">IFERROR(SEARCH(INDIRECT(CELL("address")),A443),0)</f>
        <v>1</v>
      </c>
      <c r="C443" s="34">
        <f ca="1">IF(B443=0,"",COUNTIF($B$2:B443,"&gt;0"))</f>
        <v>442</v>
      </c>
      <c r="D443" s="34">
        <f t="shared" ca="1" si="6"/>
        <v>0</v>
      </c>
    </row>
    <row r="444" spans="1:4" x14ac:dyDescent="0.4">
      <c r="A444" s="79">
        <f>'Trial Balance Dump'!B448</f>
        <v>0</v>
      </c>
      <c r="B444" s="34" cm="1">
        <f t="array" aca="1" ref="B444" ca="1">IFERROR(SEARCH(INDIRECT(CELL("address")),A444),0)</f>
        <v>1</v>
      </c>
      <c r="C444" s="34">
        <f ca="1">IF(B444=0,"",COUNTIF($B$2:B444,"&gt;0"))</f>
        <v>443</v>
      </c>
      <c r="D444" s="34">
        <f t="shared" ca="1" si="6"/>
        <v>0</v>
      </c>
    </row>
    <row r="445" spans="1:4" x14ac:dyDescent="0.4">
      <c r="A445" s="79">
        <f>'Trial Balance Dump'!B449</f>
        <v>0</v>
      </c>
      <c r="B445" s="34" cm="1">
        <f t="array" aca="1" ref="B445" ca="1">IFERROR(SEARCH(INDIRECT(CELL("address")),A445),0)</f>
        <v>1</v>
      </c>
      <c r="C445" s="34">
        <f ca="1">IF(B445=0,"",COUNTIF($B$2:B445,"&gt;0"))</f>
        <v>444</v>
      </c>
      <c r="D445" s="34">
        <f t="shared" ca="1" si="6"/>
        <v>0</v>
      </c>
    </row>
    <row r="446" spans="1:4" x14ac:dyDescent="0.4">
      <c r="A446" s="79">
        <f>'Trial Balance Dump'!B450</f>
        <v>0</v>
      </c>
      <c r="B446" s="34" cm="1">
        <f t="array" aca="1" ref="B446" ca="1">IFERROR(SEARCH(INDIRECT(CELL("address")),A446),0)</f>
        <v>1</v>
      </c>
      <c r="C446" s="34">
        <f ca="1">IF(B446=0,"",COUNTIF($B$2:B446,"&gt;0"))</f>
        <v>445</v>
      </c>
      <c r="D446" s="34">
        <f t="shared" ca="1" si="6"/>
        <v>0</v>
      </c>
    </row>
    <row r="447" spans="1:4" x14ac:dyDescent="0.4">
      <c r="A447" s="79">
        <f>'Trial Balance Dump'!B451</f>
        <v>0</v>
      </c>
      <c r="B447" s="34" cm="1">
        <f t="array" aca="1" ref="B447" ca="1">IFERROR(SEARCH(INDIRECT(CELL("address")),A447),0)</f>
        <v>1</v>
      </c>
      <c r="C447" s="34">
        <f ca="1">IF(B447=0,"",COUNTIF($B$2:B447,"&gt;0"))</f>
        <v>446</v>
      </c>
      <c r="D447" s="34">
        <f t="shared" ca="1" si="6"/>
        <v>0</v>
      </c>
    </row>
    <row r="448" spans="1:4" x14ac:dyDescent="0.4">
      <c r="A448" s="79">
        <f>'Trial Balance Dump'!B452</f>
        <v>0</v>
      </c>
      <c r="B448" s="34" cm="1">
        <f t="array" aca="1" ref="B448" ca="1">IFERROR(SEARCH(INDIRECT(CELL("address")),A448),0)</f>
        <v>1</v>
      </c>
      <c r="C448" s="34">
        <f ca="1">IF(B448=0,"",COUNTIF($B$2:B448,"&gt;0"))</f>
        <v>447</v>
      </c>
      <c r="D448" s="34">
        <f t="shared" ca="1" si="6"/>
        <v>0</v>
      </c>
    </row>
    <row r="449" spans="1:4" x14ac:dyDescent="0.4">
      <c r="A449" s="79">
        <f>'Trial Balance Dump'!B453</f>
        <v>0</v>
      </c>
      <c r="B449" s="34" cm="1">
        <f t="array" aca="1" ref="B449" ca="1">IFERROR(SEARCH(INDIRECT(CELL("address")),A449),0)</f>
        <v>1</v>
      </c>
      <c r="C449" s="34">
        <f ca="1">IF(B449=0,"",COUNTIF($B$2:B449,"&gt;0"))</f>
        <v>448</v>
      </c>
      <c r="D449" s="34">
        <f t="shared" ca="1" si="6"/>
        <v>0</v>
      </c>
    </row>
    <row r="450" spans="1:4" x14ac:dyDescent="0.4">
      <c r="A450" s="79">
        <f>'Trial Balance Dump'!B454</f>
        <v>0</v>
      </c>
      <c r="B450" s="34" cm="1">
        <f t="array" aca="1" ref="B450" ca="1">IFERROR(SEARCH(INDIRECT(CELL("address")),A450),0)</f>
        <v>1</v>
      </c>
      <c r="C450" s="34">
        <f ca="1">IF(B450=0,"",COUNTIF($B$2:B450,"&gt;0"))</f>
        <v>449</v>
      </c>
      <c r="D450" s="34">
        <f t="shared" ca="1" si="6"/>
        <v>0</v>
      </c>
    </row>
    <row r="451" spans="1:4" x14ac:dyDescent="0.4">
      <c r="A451" s="79">
        <f>'Trial Balance Dump'!B455</f>
        <v>0</v>
      </c>
      <c r="B451" s="34" cm="1">
        <f t="array" aca="1" ref="B451" ca="1">IFERROR(SEARCH(INDIRECT(CELL("address")),A451),0)</f>
        <v>1</v>
      </c>
      <c r="C451" s="34">
        <f ca="1">IF(B451=0,"",COUNTIF($B$2:B451,"&gt;0"))</f>
        <v>450</v>
      </c>
      <c r="D451" s="34">
        <f t="shared" ref="D451:D514" ca="1" si="7">IFERROR(INDEX(A:A,MATCH(ROW(B450),C:C,0)),"")</f>
        <v>0</v>
      </c>
    </row>
    <row r="452" spans="1:4" x14ac:dyDescent="0.4">
      <c r="A452" s="79">
        <f>'Trial Balance Dump'!B456</f>
        <v>0</v>
      </c>
      <c r="B452" s="34" cm="1">
        <f t="array" aca="1" ref="B452" ca="1">IFERROR(SEARCH(INDIRECT(CELL("address")),A452),0)</f>
        <v>1</v>
      </c>
      <c r="C452" s="34">
        <f ca="1">IF(B452=0,"",COUNTIF($B$2:B452,"&gt;0"))</f>
        <v>451</v>
      </c>
      <c r="D452" s="34">
        <f t="shared" ca="1" si="7"/>
        <v>0</v>
      </c>
    </row>
    <row r="453" spans="1:4" x14ac:dyDescent="0.4">
      <c r="A453" s="79">
        <f>'Trial Balance Dump'!B457</f>
        <v>0</v>
      </c>
      <c r="B453" s="34" cm="1">
        <f t="array" aca="1" ref="B453" ca="1">IFERROR(SEARCH(INDIRECT(CELL("address")),A453),0)</f>
        <v>1</v>
      </c>
      <c r="C453" s="34">
        <f ca="1">IF(B453=0,"",COUNTIF($B$2:B453,"&gt;0"))</f>
        <v>452</v>
      </c>
      <c r="D453" s="34">
        <f t="shared" ca="1" si="7"/>
        <v>0</v>
      </c>
    </row>
    <row r="454" spans="1:4" x14ac:dyDescent="0.4">
      <c r="A454" s="79">
        <f>'Trial Balance Dump'!B458</f>
        <v>0</v>
      </c>
      <c r="B454" s="34" cm="1">
        <f t="array" aca="1" ref="B454" ca="1">IFERROR(SEARCH(INDIRECT(CELL("address")),A454),0)</f>
        <v>1</v>
      </c>
      <c r="C454" s="34">
        <f ca="1">IF(B454=0,"",COUNTIF($B$2:B454,"&gt;0"))</f>
        <v>453</v>
      </c>
      <c r="D454" s="34">
        <f t="shared" ca="1" si="7"/>
        <v>0</v>
      </c>
    </row>
    <row r="455" spans="1:4" x14ac:dyDescent="0.4">
      <c r="A455" s="79">
        <f>'Trial Balance Dump'!B459</f>
        <v>0</v>
      </c>
      <c r="B455" s="34" cm="1">
        <f t="array" aca="1" ref="B455" ca="1">IFERROR(SEARCH(INDIRECT(CELL("address")),A455),0)</f>
        <v>1</v>
      </c>
      <c r="C455" s="34">
        <f ca="1">IF(B455=0,"",COUNTIF($B$2:B455,"&gt;0"))</f>
        <v>454</v>
      </c>
      <c r="D455" s="34">
        <f t="shared" ca="1" si="7"/>
        <v>0</v>
      </c>
    </row>
    <row r="456" spans="1:4" x14ac:dyDescent="0.4">
      <c r="A456" s="79">
        <f>'Trial Balance Dump'!B460</f>
        <v>0</v>
      </c>
      <c r="B456" s="34" cm="1">
        <f t="array" aca="1" ref="B456" ca="1">IFERROR(SEARCH(INDIRECT(CELL("address")),A456),0)</f>
        <v>1</v>
      </c>
      <c r="C456" s="34">
        <f ca="1">IF(B456=0,"",COUNTIF($B$2:B456,"&gt;0"))</f>
        <v>455</v>
      </c>
      <c r="D456" s="34">
        <f t="shared" ca="1" si="7"/>
        <v>0</v>
      </c>
    </row>
    <row r="457" spans="1:4" x14ac:dyDescent="0.4">
      <c r="A457" s="79">
        <f>'Trial Balance Dump'!B461</f>
        <v>0</v>
      </c>
      <c r="B457" s="34" cm="1">
        <f t="array" aca="1" ref="B457" ca="1">IFERROR(SEARCH(INDIRECT(CELL("address")),A457),0)</f>
        <v>1</v>
      </c>
      <c r="C457" s="34">
        <f ca="1">IF(B457=0,"",COUNTIF($B$2:B457,"&gt;0"))</f>
        <v>456</v>
      </c>
      <c r="D457" s="34">
        <f t="shared" ca="1" si="7"/>
        <v>0</v>
      </c>
    </row>
    <row r="458" spans="1:4" x14ac:dyDescent="0.4">
      <c r="A458" s="79">
        <f>'Trial Balance Dump'!B462</f>
        <v>0</v>
      </c>
      <c r="B458" s="34" cm="1">
        <f t="array" aca="1" ref="B458" ca="1">IFERROR(SEARCH(INDIRECT(CELL("address")),A458),0)</f>
        <v>1</v>
      </c>
      <c r="C458" s="34">
        <f ca="1">IF(B458=0,"",COUNTIF($B$2:B458,"&gt;0"))</f>
        <v>457</v>
      </c>
      <c r="D458" s="34">
        <f t="shared" ca="1" si="7"/>
        <v>0</v>
      </c>
    </row>
    <row r="459" spans="1:4" x14ac:dyDescent="0.4">
      <c r="A459" s="79">
        <f>'Trial Balance Dump'!B463</f>
        <v>0</v>
      </c>
      <c r="B459" s="34" cm="1">
        <f t="array" aca="1" ref="B459" ca="1">IFERROR(SEARCH(INDIRECT(CELL("address")),A459),0)</f>
        <v>1</v>
      </c>
      <c r="C459" s="34">
        <f ca="1">IF(B459=0,"",COUNTIF($B$2:B459,"&gt;0"))</f>
        <v>458</v>
      </c>
      <c r="D459" s="34">
        <f t="shared" ca="1" si="7"/>
        <v>0</v>
      </c>
    </row>
    <row r="460" spans="1:4" x14ac:dyDescent="0.4">
      <c r="A460" s="79">
        <f>'Trial Balance Dump'!B464</f>
        <v>0</v>
      </c>
      <c r="B460" s="34" cm="1">
        <f t="array" aca="1" ref="B460" ca="1">IFERROR(SEARCH(INDIRECT(CELL("address")),A460),0)</f>
        <v>1</v>
      </c>
      <c r="C460" s="34">
        <f ca="1">IF(B460=0,"",COUNTIF($B$2:B460,"&gt;0"))</f>
        <v>459</v>
      </c>
      <c r="D460" s="34">
        <f t="shared" ca="1" si="7"/>
        <v>0</v>
      </c>
    </row>
    <row r="461" spans="1:4" x14ac:dyDescent="0.4">
      <c r="A461" s="79">
        <f>'Trial Balance Dump'!B465</f>
        <v>0</v>
      </c>
      <c r="B461" s="34" cm="1">
        <f t="array" aca="1" ref="B461" ca="1">IFERROR(SEARCH(INDIRECT(CELL("address")),A461),0)</f>
        <v>1</v>
      </c>
      <c r="C461" s="34">
        <f ca="1">IF(B461=0,"",COUNTIF($B$2:B461,"&gt;0"))</f>
        <v>460</v>
      </c>
      <c r="D461" s="34">
        <f t="shared" ca="1" si="7"/>
        <v>0</v>
      </c>
    </row>
    <row r="462" spans="1:4" x14ac:dyDescent="0.4">
      <c r="A462" s="79">
        <f>'Trial Balance Dump'!B466</f>
        <v>0</v>
      </c>
      <c r="B462" s="34" cm="1">
        <f t="array" aca="1" ref="B462" ca="1">IFERROR(SEARCH(INDIRECT(CELL("address")),A462),0)</f>
        <v>1</v>
      </c>
      <c r="C462" s="34">
        <f ca="1">IF(B462=0,"",COUNTIF($B$2:B462,"&gt;0"))</f>
        <v>461</v>
      </c>
      <c r="D462" s="34">
        <f t="shared" ca="1" si="7"/>
        <v>0</v>
      </c>
    </row>
    <row r="463" spans="1:4" x14ac:dyDescent="0.4">
      <c r="A463" s="79">
        <f>'Trial Balance Dump'!B467</f>
        <v>0</v>
      </c>
      <c r="B463" s="34" cm="1">
        <f t="array" aca="1" ref="B463" ca="1">IFERROR(SEARCH(INDIRECT(CELL("address")),A463),0)</f>
        <v>1</v>
      </c>
      <c r="C463" s="34">
        <f ca="1">IF(B463=0,"",COUNTIF($B$2:B463,"&gt;0"))</f>
        <v>462</v>
      </c>
      <c r="D463" s="34">
        <f t="shared" ca="1" si="7"/>
        <v>0</v>
      </c>
    </row>
    <row r="464" spans="1:4" x14ac:dyDescent="0.4">
      <c r="A464" s="79">
        <f>'Trial Balance Dump'!B468</f>
        <v>0</v>
      </c>
      <c r="B464" s="34" cm="1">
        <f t="array" aca="1" ref="B464" ca="1">IFERROR(SEARCH(INDIRECT(CELL("address")),A464),0)</f>
        <v>1</v>
      </c>
      <c r="C464" s="34">
        <f ca="1">IF(B464=0,"",COUNTIF($B$2:B464,"&gt;0"))</f>
        <v>463</v>
      </c>
      <c r="D464" s="34">
        <f t="shared" ca="1" si="7"/>
        <v>0</v>
      </c>
    </row>
    <row r="465" spans="1:4" x14ac:dyDescent="0.4">
      <c r="A465" s="79">
        <f>'Trial Balance Dump'!B469</f>
        <v>0</v>
      </c>
      <c r="B465" s="34" cm="1">
        <f t="array" aca="1" ref="B465" ca="1">IFERROR(SEARCH(INDIRECT(CELL("address")),A465),0)</f>
        <v>1</v>
      </c>
      <c r="C465" s="34">
        <f ca="1">IF(B465=0,"",COUNTIF($B$2:B465,"&gt;0"))</f>
        <v>464</v>
      </c>
      <c r="D465" s="34">
        <f t="shared" ca="1" si="7"/>
        <v>0</v>
      </c>
    </row>
    <row r="466" spans="1:4" x14ac:dyDescent="0.4">
      <c r="A466" s="79">
        <f>'Trial Balance Dump'!B470</f>
        <v>0</v>
      </c>
      <c r="B466" s="34" cm="1">
        <f t="array" aca="1" ref="B466" ca="1">IFERROR(SEARCH(INDIRECT(CELL("address")),A466),0)</f>
        <v>1</v>
      </c>
      <c r="C466" s="34">
        <f ca="1">IF(B466=0,"",COUNTIF($B$2:B466,"&gt;0"))</f>
        <v>465</v>
      </c>
      <c r="D466" s="34">
        <f t="shared" ca="1" si="7"/>
        <v>0</v>
      </c>
    </row>
    <row r="467" spans="1:4" x14ac:dyDescent="0.4">
      <c r="A467" s="79">
        <f>'Trial Balance Dump'!B471</f>
        <v>0</v>
      </c>
      <c r="B467" s="34" cm="1">
        <f t="array" aca="1" ref="B467" ca="1">IFERROR(SEARCH(INDIRECT(CELL("address")),A467),0)</f>
        <v>1</v>
      </c>
      <c r="C467" s="34">
        <f ca="1">IF(B467=0,"",COUNTIF($B$2:B467,"&gt;0"))</f>
        <v>466</v>
      </c>
      <c r="D467" s="34">
        <f t="shared" ca="1" si="7"/>
        <v>0</v>
      </c>
    </row>
    <row r="468" spans="1:4" x14ac:dyDescent="0.4">
      <c r="A468" s="79">
        <f>'Trial Balance Dump'!B472</f>
        <v>0</v>
      </c>
      <c r="B468" s="34" cm="1">
        <f t="array" aca="1" ref="B468" ca="1">IFERROR(SEARCH(INDIRECT(CELL("address")),A468),0)</f>
        <v>1</v>
      </c>
      <c r="C468" s="34">
        <f ca="1">IF(B468=0,"",COUNTIF($B$2:B468,"&gt;0"))</f>
        <v>467</v>
      </c>
      <c r="D468" s="34">
        <f t="shared" ca="1" si="7"/>
        <v>0</v>
      </c>
    </row>
    <row r="469" spans="1:4" x14ac:dyDescent="0.4">
      <c r="A469" s="79">
        <f>'Trial Balance Dump'!B473</f>
        <v>0</v>
      </c>
      <c r="B469" s="34" cm="1">
        <f t="array" aca="1" ref="B469" ca="1">IFERROR(SEARCH(INDIRECT(CELL("address")),A469),0)</f>
        <v>1</v>
      </c>
      <c r="C469" s="34">
        <f ca="1">IF(B469=0,"",COUNTIF($B$2:B469,"&gt;0"))</f>
        <v>468</v>
      </c>
      <c r="D469" s="34">
        <f t="shared" ca="1" si="7"/>
        <v>0</v>
      </c>
    </row>
    <row r="470" spans="1:4" x14ac:dyDescent="0.4">
      <c r="A470" s="79">
        <f>'Trial Balance Dump'!B474</f>
        <v>0</v>
      </c>
      <c r="B470" s="34" cm="1">
        <f t="array" aca="1" ref="B470" ca="1">IFERROR(SEARCH(INDIRECT(CELL("address")),A470),0)</f>
        <v>1</v>
      </c>
      <c r="C470" s="34">
        <f ca="1">IF(B470=0,"",COUNTIF($B$2:B470,"&gt;0"))</f>
        <v>469</v>
      </c>
      <c r="D470" s="34">
        <f t="shared" ca="1" si="7"/>
        <v>0</v>
      </c>
    </row>
    <row r="471" spans="1:4" x14ac:dyDescent="0.4">
      <c r="A471" s="79">
        <f>'Trial Balance Dump'!B475</f>
        <v>0</v>
      </c>
      <c r="B471" s="34" cm="1">
        <f t="array" aca="1" ref="B471" ca="1">IFERROR(SEARCH(INDIRECT(CELL("address")),A471),0)</f>
        <v>1</v>
      </c>
      <c r="C471" s="34">
        <f ca="1">IF(B471=0,"",COUNTIF($B$2:B471,"&gt;0"))</f>
        <v>470</v>
      </c>
      <c r="D471" s="34">
        <f t="shared" ca="1" si="7"/>
        <v>0</v>
      </c>
    </row>
    <row r="472" spans="1:4" x14ac:dyDescent="0.4">
      <c r="A472" s="79">
        <f>'Trial Balance Dump'!B476</f>
        <v>0</v>
      </c>
      <c r="B472" s="34" cm="1">
        <f t="array" aca="1" ref="B472" ca="1">IFERROR(SEARCH(INDIRECT(CELL("address")),A472),0)</f>
        <v>1</v>
      </c>
      <c r="C472" s="34">
        <f ca="1">IF(B472=0,"",COUNTIF($B$2:B472,"&gt;0"))</f>
        <v>471</v>
      </c>
      <c r="D472" s="34">
        <f t="shared" ca="1" si="7"/>
        <v>0</v>
      </c>
    </row>
    <row r="473" spans="1:4" x14ac:dyDescent="0.4">
      <c r="A473" s="79">
        <f>'Trial Balance Dump'!B477</f>
        <v>0</v>
      </c>
      <c r="B473" s="34" cm="1">
        <f t="array" aca="1" ref="B473" ca="1">IFERROR(SEARCH(INDIRECT(CELL("address")),A473),0)</f>
        <v>1</v>
      </c>
      <c r="C473" s="34">
        <f ca="1">IF(B473=0,"",COUNTIF($B$2:B473,"&gt;0"))</f>
        <v>472</v>
      </c>
      <c r="D473" s="34">
        <f t="shared" ca="1" si="7"/>
        <v>0</v>
      </c>
    </row>
    <row r="474" spans="1:4" x14ac:dyDescent="0.4">
      <c r="A474" s="79">
        <f>'Trial Balance Dump'!B478</f>
        <v>0</v>
      </c>
      <c r="B474" s="34" cm="1">
        <f t="array" aca="1" ref="B474" ca="1">IFERROR(SEARCH(INDIRECT(CELL("address")),A474),0)</f>
        <v>1</v>
      </c>
      <c r="C474" s="34">
        <f ca="1">IF(B474=0,"",COUNTIF($B$2:B474,"&gt;0"))</f>
        <v>473</v>
      </c>
      <c r="D474" s="34">
        <f t="shared" ca="1" si="7"/>
        <v>0</v>
      </c>
    </row>
    <row r="475" spans="1:4" x14ac:dyDescent="0.4">
      <c r="A475" s="79">
        <f>'Trial Balance Dump'!B479</f>
        <v>0</v>
      </c>
      <c r="B475" s="34" cm="1">
        <f t="array" aca="1" ref="B475" ca="1">IFERROR(SEARCH(INDIRECT(CELL("address")),A475),0)</f>
        <v>1</v>
      </c>
      <c r="C475" s="34">
        <f ca="1">IF(B475=0,"",COUNTIF($B$2:B475,"&gt;0"))</f>
        <v>474</v>
      </c>
      <c r="D475" s="34">
        <f t="shared" ca="1" si="7"/>
        <v>0</v>
      </c>
    </row>
    <row r="476" spans="1:4" x14ac:dyDescent="0.4">
      <c r="A476" s="79">
        <f>'Trial Balance Dump'!B480</f>
        <v>0</v>
      </c>
      <c r="B476" s="34" cm="1">
        <f t="array" aca="1" ref="B476" ca="1">IFERROR(SEARCH(INDIRECT(CELL("address")),A476),0)</f>
        <v>1</v>
      </c>
      <c r="C476" s="34">
        <f ca="1">IF(B476=0,"",COUNTIF($B$2:B476,"&gt;0"))</f>
        <v>475</v>
      </c>
      <c r="D476" s="34">
        <f t="shared" ca="1" si="7"/>
        <v>0</v>
      </c>
    </row>
    <row r="477" spans="1:4" x14ac:dyDescent="0.4">
      <c r="A477" s="79">
        <f>'Trial Balance Dump'!B481</f>
        <v>0</v>
      </c>
      <c r="B477" s="34" cm="1">
        <f t="array" aca="1" ref="B477" ca="1">IFERROR(SEARCH(INDIRECT(CELL("address")),A477),0)</f>
        <v>1</v>
      </c>
      <c r="C477" s="34">
        <f ca="1">IF(B477=0,"",COUNTIF($B$2:B477,"&gt;0"))</f>
        <v>476</v>
      </c>
      <c r="D477" s="34">
        <f t="shared" ca="1" si="7"/>
        <v>0</v>
      </c>
    </row>
    <row r="478" spans="1:4" x14ac:dyDescent="0.4">
      <c r="A478" s="79">
        <f>'Trial Balance Dump'!B482</f>
        <v>0</v>
      </c>
      <c r="B478" s="34" cm="1">
        <f t="array" aca="1" ref="B478" ca="1">IFERROR(SEARCH(INDIRECT(CELL("address")),A478),0)</f>
        <v>1</v>
      </c>
      <c r="C478" s="34">
        <f ca="1">IF(B478=0,"",COUNTIF($B$2:B478,"&gt;0"))</f>
        <v>477</v>
      </c>
      <c r="D478" s="34">
        <f t="shared" ca="1" si="7"/>
        <v>0</v>
      </c>
    </row>
    <row r="479" spans="1:4" x14ac:dyDescent="0.4">
      <c r="A479" s="79">
        <f>'Trial Balance Dump'!B483</f>
        <v>0</v>
      </c>
      <c r="B479" s="34" cm="1">
        <f t="array" aca="1" ref="B479" ca="1">IFERROR(SEARCH(INDIRECT(CELL("address")),A479),0)</f>
        <v>1</v>
      </c>
      <c r="C479" s="34">
        <f ca="1">IF(B479=0,"",COUNTIF($B$2:B479,"&gt;0"))</f>
        <v>478</v>
      </c>
      <c r="D479" s="34">
        <f t="shared" ca="1" si="7"/>
        <v>0</v>
      </c>
    </row>
    <row r="480" spans="1:4" x14ac:dyDescent="0.4">
      <c r="A480" s="79">
        <f>'Trial Balance Dump'!B484</f>
        <v>0</v>
      </c>
      <c r="B480" s="34" cm="1">
        <f t="array" aca="1" ref="B480" ca="1">IFERROR(SEARCH(INDIRECT(CELL("address")),A480),0)</f>
        <v>1</v>
      </c>
      <c r="C480" s="34">
        <f ca="1">IF(B480=0,"",COUNTIF($B$2:B480,"&gt;0"))</f>
        <v>479</v>
      </c>
      <c r="D480" s="34">
        <f t="shared" ca="1" si="7"/>
        <v>0</v>
      </c>
    </row>
    <row r="481" spans="1:4" x14ac:dyDescent="0.4">
      <c r="A481" s="79">
        <f>'Trial Balance Dump'!B485</f>
        <v>0</v>
      </c>
      <c r="B481" s="34" cm="1">
        <f t="array" aca="1" ref="B481" ca="1">IFERROR(SEARCH(INDIRECT(CELL("address")),A481),0)</f>
        <v>1</v>
      </c>
      <c r="C481" s="34">
        <f ca="1">IF(B481=0,"",COUNTIF($B$2:B481,"&gt;0"))</f>
        <v>480</v>
      </c>
      <c r="D481" s="34">
        <f t="shared" ca="1" si="7"/>
        <v>0</v>
      </c>
    </row>
    <row r="482" spans="1:4" x14ac:dyDescent="0.4">
      <c r="A482" s="79">
        <f>'Trial Balance Dump'!B486</f>
        <v>0</v>
      </c>
      <c r="B482" s="34" cm="1">
        <f t="array" aca="1" ref="B482" ca="1">IFERROR(SEARCH(INDIRECT(CELL("address")),A482),0)</f>
        <v>1</v>
      </c>
      <c r="C482" s="34">
        <f ca="1">IF(B482=0,"",COUNTIF($B$2:B482,"&gt;0"))</f>
        <v>481</v>
      </c>
      <c r="D482" s="34">
        <f t="shared" ca="1" si="7"/>
        <v>0</v>
      </c>
    </row>
    <row r="483" spans="1:4" x14ac:dyDescent="0.4">
      <c r="A483" s="79">
        <f>'Trial Balance Dump'!B487</f>
        <v>0</v>
      </c>
      <c r="B483" s="34" cm="1">
        <f t="array" aca="1" ref="B483" ca="1">IFERROR(SEARCH(INDIRECT(CELL("address")),A483),0)</f>
        <v>1</v>
      </c>
      <c r="C483" s="34">
        <f ca="1">IF(B483=0,"",COUNTIF($B$2:B483,"&gt;0"))</f>
        <v>482</v>
      </c>
      <c r="D483" s="34">
        <f t="shared" ca="1" si="7"/>
        <v>0</v>
      </c>
    </row>
    <row r="484" spans="1:4" x14ac:dyDescent="0.4">
      <c r="A484" s="79">
        <f>'Trial Balance Dump'!B488</f>
        <v>0</v>
      </c>
      <c r="B484" s="34" cm="1">
        <f t="array" aca="1" ref="B484" ca="1">IFERROR(SEARCH(INDIRECT(CELL("address")),A484),0)</f>
        <v>1</v>
      </c>
      <c r="C484" s="34">
        <f ca="1">IF(B484=0,"",COUNTIF($B$2:B484,"&gt;0"))</f>
        <v>483</v>
      </c>
      <c r="D484" s="34">
        <f t="shared" ca="1" si="7"/>
        <v>0</v>
      </c>
    </row>
    <row r="485" spans="1:4" x14ac:dyDescent="0.4">
      <c r="A485" s="79">
        <f>'Trial Balance Dump'!B489</f>
        <v>0</v>
      </c>
      <c r="B485" s="34" cm="1">
        <f t="array" aca="1" ref="B485" ca="1">IFERROR(SEARCH(INDIRECT(CELL("address")),A485),0)</f>
        <v>1</v>
      </c>
      <c r="C485" s="34">
        <f ca="1">IF(B485=0,"",COUNTIF($B$2:B485,"&gt;0"))</f>
        <v>484</v>
      </c>
      <c r="D485" s="34">
        <f t="shared" ca="1" si="7"/>
        <v>0</v>
      </c>
    </row>
    <row r="486" spans="1:4" x14ac:dyDescent="0.4">
      <c r="A486" s="79">
        <f>'Trial Balance Dump'!B490</f>
        <v>0</v>
      </c>
      <c r="B486" s="34" cm="1">
        <f t="array" aca="1" ref="B486" ca="1">IFERROR(SEARCH(INDIRECT(CELL("address")),A486),0)</f>
        <v>1</v>
      </c>
      <c r="C486" s="34">
        <f ca="1">IF(B486=0,"",COUNTIF($B$2:B486,"&gt;0"))</f>
        <v>485</v>
      </c>
      <c r="D486" s="34">
        <f t="shared" ca="1" si="7"/>
        <v>0</v>
      </c>
    </row>
    <row r="487" spans="1:4" x14ac:dyDescent="0.4">
      <c r="A487" s="79">
        <f>'Trial Balance Dump'!B491</f>
        <v>0</v>
      </c>
      <c r="B487" s="34" cm="1">
        <f t="array" aca="1" ref="B487" ca="1">IFERROR(SEARCH(INDIRECT(CELL("address")),A487),0)</f>
        <v>1</v>
      </c>
      <c r="C487" s="34">
        <f ca="1">IF(B487=0,"",COUNTIF($B$2:B487,"&gt;0"))</f>
        <v>486</v>
      </c>
      <c r="D487" s="34">
        <f t="shared" ca="1" si="7"/>
        <v>0</v>
      </c>
    </row>
    <row r="488" spans="1:4" x14ac:dyDescent="0.4">
      <c r="A488" s="79">
        <f>'Trial Balance Dump'!B492</f>
        <v>0</v>
      </c>
      <c r="B488" s="34" cm="1">
        <f t="array" aca="1" ref="B488" ca="1">IFERROR(SEARCH(INDIRECT(CELL("address")),A488),0)</f>
        <v>1</v>
      </c>
      <c r="C488" s="34">
        <f ca="1">IF(B488=0,"",COUNTIF($B$2:B488,"&gt;0"))</f>
        <v>487</v>
      </c>
      <c r="D488" s="34">
        <f t="shared" ca="1" si="7"/>
        <v>0</v>
      </c>
    </row>
    <row r="489" spans="1:4" x14ac:dyDescent="0.4">
      <c r="A489" s="79">
        <f>'Trial Balance Dump'!B493</f>
        <v>0</v>
      </c>
      <c r="B489" s="34" cm="1">
        <f t="array" aca="1" ref="B489" ca="1">IFERROR(SEARCH(INDIRECT(CELL("address")),A489),0)</f>
        <v>1</v>
      </c>
      <c r="C489" s="34">
        <f ca="1">IF(B489=0,"",COUNTIF($B$2:B489,"&gt;0"))</f>
        <v>488</v>
      </c>
      <c r="D489" s="34">
        <f t="shared" ca="1" si="7"/>
        <v>0</v>
      </c>
    </row>
    <row r="490" spans="1:4" x14ac:dyDescent="0.4">
      <c r="A490" s="79">
        <f>'Trial Balance Dump'!B494</f>
        <v>0</v>
      </c>
      <c r="B490" s="34" cm="1">
        <f t="array" aca="1" ref="B490" ca="1">IFERROR(SEARCH(INDIRECT(CELL("address")),A490),0)</f>
        <v>1</v>
      </c>
      <c r="C490" s="34">
        <f ca="1">IF(B490=0,"",COUNTIF($B$2:B490,"&gt;0"))</f>
        <v>489</v>
      </c>
      <c r="D490" s="34">
        <f t="shared" ca="1" si="7"/>
        <v>0</v>
      </c>
    </row>
    <row r="491" spans="1:4" x14ac:dyDescent="0.4">
      <c r="A491" s="79">
        <f>'Trial Balance Dump'!B495</f>
        <v>0</v>
      </c>
      <c r="B491" s="34" cm="1">
        <f t="array" aca="1" ref="B491" ca="1">IFERROR(SEARCH(INDIRECT(CELL("address")),A491),0)</f>
        <v>1</v>
      </c>
      <c r="C491" s="34">
        <f ca="1">IF(B491=0,"",COUNTIF($B$2:B491,"&gt;0"))</f>
        <v>490</v>
      </c>
      <c r="D491" s="34">
        <f t="shared" ca="1" si="7"/>
        <v>0</v>
      </c>
    </row>
    <row r="492" spans="1:4" x14ac:dyDescent="0.4">
      <c r="A492" s="79">
        <f>'Trial Balance Dump'!B496</f>
        <v>0</v>
      </c>
      <c r="B492" s="34" cm="1">
        <f t="array" aca="1" ref="B492" ca="1">IFERROR(SEARCH(INDIRECT(CELL("address")),A492),0)</f>
        <v>1</v>
      </c>
      <c r="C492" s="34">
        <f ca="1">IF(B492=0,"",COUNTIF($B$2:B492,"&gt;0"))</f>
        <v>491</v>
      </c>
      <c r="D492" s="34">
        <f t="shared" ca="1" si="7"/>
        <v>0</v>
      </c>
    </row>
    <row r="493" spans="1:4" x14ac:dyDescent="0.4">
      <c r="A493" s="79">
        <f>'Trial Balance Dump'!B497</f>
        <v>0</v>
      </c>
      <c r="B493" s="34" cm="1">
        <f t="array" aca="1" ref="B493" ca="1">IFERROR(SEARCH(INDIRECT(CELL("address")),A493),0)</f>
        <v>1</v>
      </c>
      <c r="C493" s="34">
        <f ca="1">IF(B493=0,"",COUNTIF($B$2:B493,"&gt;0"))</f>
        <v>492</v>
      </c>
      <c r="D493" s="34">
        <f t="shared" ca="1" si="7"/>
        <v>0</v>
      </c>
    </row>
    <row r="494" spans="1:4" x14ac:dyDescent="0.4">
      <c r="A494" s="79">
        <f>'Trial Balance Dump'!B498</f>
        <v>0</v>
      </c>
      <c r="B494" s="34" cm="1">
        <f t="array" aca="1" ref="B494" ca="1">IFERROR(SEARCH(INDIRECT(CELL("address")),A494),0)</f>
        <v>1</v>
      </c>
      <c r="C494" s="34">
        <f ca="1">IF(B494=0,"",COUNTIF($B$2:B494,"&gt;0"))</f>
        <v>493</v>
      </c>
      <c r="D494" s="34">
        <f t="shared" ca="1" si="7"/>
        <v>0</v>
      </c>
    </row>
    <row r="495" spans="1:4" x14ac:dyDescent="0.4">
      <c r="A495" s="79">
        <f>'Trial Balance Dump'!B499</f>
        <v>0</v>
      </c>
      <c r="B495" s="34" cm="1">
        <f t="array" aca="1" ref="B495" ca="1">IFERROR(SEARCH(INDIRECT(CELL("address")),A495),0)</f>
        <v>1</v>
      </c>
      <c r="C495" s="34">
        <f ca="1">IF(B495=0,"",COUNTIF($B$2:B495,"&gt;0"))</f>
        <v>494</v>
      </c>
      <c r="D495" s="34">
        <f t="shared" ca="1" si="7"/>
        <v>0</v>
      </c>
    </row>
    <row r="496" spans="1:4" x14ac:dyDescent="0.4">
      <c r="A496" s="79">
        <f>'Trial Balance Dump'!B500</f>
        <v>0</v>
      </c>
      <c r="B496" s="34" cm="1">
        <f t="array" aca="1" ref="B496" ca="1">IFERROR(SEARCH(INDIRECT(CELL("address")),A496),0)</f>
        <v>1</v>
      </c>
      <c r="C496" s="34">
        <f ca="1">IF(B496=0,"",COUNTIF($B$2:B496,"&gt;0"))</f>
        <v>495</v>
      </c>
      <c r="D496" s="34">
        <f t="shared" ca="1" si="7"/>
        <v>0</v>
      </c>
    </row>
    <row r="497" spans="1:4" x14ac:dyDescent="0.4">
      <c r="A497" s="79">
        <f>'Trial Balance Dump'!B501</f>
        <v>0</v>
      </c>
      <c r="B497" s="34" cm="1">
        <f t="array" aca="1" ref="B497" ca="1">IFERROR(SEARCH(INDIRECT(CELL("address")),A497),0)</f>
        <v>1</v>
      </c>
      <c r="C497" s="34">
        <f ca="1">IF(B497=0,"",COUNTIF($B$2:B497,"&gt;0"))</f>
        <v>496</v>
      </c>
      <c r="D497" s="34">
        <f t="shared" ca="1" si="7"/>
        <v>0</v>
      </c>
    </row>
    <row r="498" spans="1:4" x14ac:dyDescent="0.4">
      <c r="A498" s="79">
        <f>'Trial Balance Dump'!B502</f>
        <v>0</v>
      </c>
      <c r="B498" s="34" cm="1">
        <f t="array" aca="1" ref="B498" ca="1">IFERROR(SEARCH(INDIRECT(CELL("address")),A498),0)</f>
        <v>1</v>
      </c>
      <c r="C498" s="34">
        <f ca="1">IF(B498=0,"",COUNTIF($B$2:B498,"&gt;0"))</f>
        <v>497</v>
      </c>
      <c r="D498" s="34">
        <f t="shared" ca="1" si="7"/>
        <v>0</v>
      </c>
    </row>
    <row r="499" spans="1:4" x14ac:dyDescent="0.4">
      <c r="A499" s="79">
        <f>'Trial Balance Dump'!B503</f>
        <v>0</v>
      </c>
      <c r="B499" s="34" cm="1">
        <f t="array" aca="1" ref="B499" ca="1">IFERROR(SEARCH(INDIRECT(CELL("address")),A499),0)</f>
        <v>1</v>
      </c>
      <c r="C499" s="34">
        <f ca="1">IF(B499=0,"",COUNTIF($B$2:B499,"&gt;0"))</f>
        <v>498</v>
      </c>
      <c r="D499" s="34">
        <f t="shared" ca="1" si="7"/>
        <v>0</v>
      </c>
    </row>
    <row r="500" spans="1:4" x14ac:dyDescent="0.4">
      <c r="A500" s="79">
        <f>'Trial Balance Dump'!B504</f>
        <v>0</v>
      </c>
      <c r="B500" s="34" cm="1">
        <f t="array" aca="1" ref="B500" ca="1">IFERROR(SEARCH(INDIRECT(CELL("address")),A500),0)</f>
        <v>1</v>
      </c>
      <c r="C500" s="34">
        <f ca="1">IF(B500=0,"",COUNTIF($B$2:B500,"&gt;0"))</f>
        <v>499</v>
      </c>
      <c r="D500" s="34">
        <f t="shared" ca="1" si="7"/>
        <v>0</v>
      </c>
    </row>
    <row r="501" spans="1:4" x14ac:dyDescent="0.4">
      <c r="A501" s="79">
        <f>'Trial Balance Dump'!B505</f>
        <v>0</v>
      </c>
      <c r="B501" s="34" cm="1">
        <f t="array" aca="1" ref="B501" ca="1">IFERROR(SEARCH(INDIRECT(CELL("address")),A501),0)</f>
        <v>1</v>
      </c>
      <c r="C501" s="34">
        <f ca="1">IF(B501=0,"",COUNTIF($B$2:B501,"&gt;0"))</f>
        <v>500</v>
      </c>
      <c r="D501" s="34">
        <f t="shared" ca="1" si="7"/>
        <v>0</v>
      </c>
    </row>
    <row r="502" spans="1:4" x14ac:dyDescent="0.4">
      <c r="A502" s="79">
        <f>'Trial Balance Dump'!B506</f>
        <v>0</v>
      </c>
      <c r="B502" s="34" cm="1">
        <f t="array" aca="1" ref="B502" ca="1">IFERROR(SEARCH(INDIRECT(CELL("address")),A502),0)</f>
        <v>1</v>
      </c>
      <c r="C502" s="34">
        <f ca="1">IF(B502=0,"",COUNTIF($B$2:B502,"&gt;0"))</f>
        <v>501</v>
      </c>
      <c r="D502" s="34">
        <f t="shared" ca="1" si="7"/>
        <v>0</v>
      </c>
    </row>
    <row r="503" spans="1:4" x14ac:dyDescent="0.4">
      <c r="A503" s="79">
        <f>'Trial Balance Dump'!B507</f>
        <v>0</v>
      </c>
      <c r="B503" s="34" cm="1">
        <f t="array" aca="1" ref="B503" ca="1">IFERROR(SEARCH(INDIRECT(CELL("address")),A503),0)</f>
        <v>1</v>
      </c>
      <c r="C503" s="34">
        <f ca="1">IF(B503=0,"",COUNTIF($B$2:B503,"&gt;0"))</f>
        <v>502</v>
      </c>
      <c r="D503" s="34">
        <f t="shared" ca="1" si="7"/>
        <v>0</v>
      </c>
    </row>
    <row r="504" spans="1:4" x14ac:dyDescent="0.4">
      <c r="A504" s="79">
        <f>'Trial Balance Dump'!B508</f>
        <v>0</v>
      </c>
      <c r="B504" s="34" cm="1">
        <f t="array" aca="1" ref="B504" ca="1">IFERROR(SEARCH(INDIRECT(CELL("address")),A504),0)</f>
        <v>1</v>
      </c>
      <c r="C504" s="34">
        <f ca="1">IF(B504=0,"",COUNTIF($B$2:B504,"&gt;0"))</f>
        <v>503</v>
      </c>
      <c r="D504" s="34">
        <f t="shared" ca="1" si="7"/>
        <v>0</v>
      </c>
    </row>
    <row r="505" spans="1:4" x14ac:dyDescent="0.4">
      <c r="A505" s="79">
        <f>'Trial Balance Dump'!B509</f>
        <v>0</v>
      </c>
      <c r="B505" s="34" cm="1">
        <f t="array" aca="1" ref="B505" ca="1">IFERROR(SEARCH(INDIRECT(CELL("address")),A505),0)</f>
        <v>1</v>
      </c>
      <c r="C505" s="34">
        <f ca="1">IF(B505=0,"",COUNTIF($B$2:B505,"&gt;0"))</f>
        <v>504</v>
      </c>
      <c r="D505" s="34">
        <f t="shared" ca="1" si="7"/>
        <v>0</v>
      </c>
    </row>
    <row r="506" spans="1:4" x14ac:dyDescent="0.4">
      <c r="A506" s="79">
        <f>'Trial Balance Dump'!B510</f>
        <v>0</v>
      </c>
      <c r="B506" s="34" cm="1">
        <f t="array" aca="1" ref="B506" ca="1">IFERROR(SEARCH(INDIRECT(CELL("address")),A506),0)</f>
        <v>1</v>
      </c>
      <c r="C506" s="34">
        <f ca="1">IF(B506=0,"",COUNTIF($B$2:B506,"&gt;0"))</f>
        <v>505</v>
      </c>
      <c r="D506" s="34">
        <f t="shared" ca="1" si="7"/>
        <v>0</v>
      </c>
    </row>
    <row r="507" spans="1:4" x14ac:dyDescent="0.4">
      <c r="A507" s="79">
        <f>'Trial Balance Dump'!B511</f>
        <v>0</v>
      </c>
      <c r="B507" s="34" cm="1">
        <f t="array" aca="1" ref="B507" ca="1">IFERROR(SEARCH(INDIRECT(CELL("address")),A507),0)</f>
        <v>1</v>
      </c>
      <c r="C507" s="34">
        <f ca="1">IF(B507=0,"",COUNTIF($B$2:B507,"&gt;0"))</f>
        <v>506</v>
      </c>
      <c r="D507" s="34">
        <f t="shared" ca="1" si="7"/>
        <v>0</v>
      </c>
    </row>
    <row r="508" spans="1:4" x14ac:dyDescent="0.4">
      <c r="A508" s="79">
        <f>'Trial Balance Dump'!B512</f>
        <v>0</v>
      </c>
      <c r="B508" s="34" cm="1">
        <f t="array" aca="1" ref="B508" ca="1">IFERROR(SEARCH(INDIRECT(CELL("address")),A508),0)</f>
        <v>1</v>
      </c>
      <c r="C508" s="34">
        <f ca="1">IF(B508=0,"",COUNTIF($B$2:B508,"&gt;0"))</f>
        <v>507</v>
      </c>
      <c r="D508" s="34">
        <f t="shared" ca="1" si="7"/>
        <v>0</v>
      </c>
    </row>
    <row r="509" spans="1:4" x14ac:dyDescent="0.4">
      <c r="A509" s="79">
        <f>'Trial Balance Dump'!B513</f>
        <v>0</v>
      </c>
      <c r="B509" s="34" cm="1">
        <f t="array" aca="1" ref="B509" ca="1">IFERROR(SEARCH(INDIRECT(CELL("address")),A509),0)</f>
        <v>1</v>
      </c>
      <c r="C509" s="34">
        <f ca="1">IF(B509=0,"",COUNTIF($B$2:B509,"&gt;0"))</f>
        <v>508</v>
      </c>
      <c r="D509" s="34">
        <f t="shared" ca="1" si="7"/>
        <v>0</v>
      </c>
    </row>
    <row r="510" spans="1:4" x14ac:dyDescent="0.4">
      <c r="A510" s="79">
        <f>'Trial Balance Dump'!B514</f>
        <v>0</v>
      </c>
      <c r="B510" s="34" cm="1">
        <f t="array" aca="1" ref="B510" ca="1">IFERROR(SEARCH(INDIRECT(CELL("address")),A510),0)</f>
        <v>1</v>
      </c>
      <c r="C510" s="34">
        <f ca="1">IF(B510=0,"",COUNTIF($B$2:B510,"&gt;0"))</f>
        <v>509</v>
      </c>
      <c r="D510" s="34">
        <f t="shared" ca="1" si="7"/>
        <v>0</v>
      </c>
    </row>
    <row r="511" spans="1:4" x14ac:dyDescent="0.4">
      <c r="A511" s="79">
        <f>'Trial Balance Dump'!B515</f>
        <v>0</v>
      </c>
      <c r="B511" s="34" cm="1">
        <f t="array" aca="1" ref="B511" ca="1">IFERROR(SEARCH(INDIRECT(CELL("address")),A511),0)</f>
        <v>1</v>
      </c>
      <c r="C511" s="34">
        <f ca="1">IF(B511=0,"",COUNTIF($B$2:B511,"&gt;0"))</f>
        <v>510</v>
      </c>
      <c r="D511" s="34">
        <f t="shared" ca="1" si="7"/>
        <v>0</v>
      </c>
    </row>
    <row r="512" spans="1:4" x14ac:dyDescent="0.4">
      <c r="A512" s="79">
        <f>'Trial Balance Dump'!B516</f>
        <v>0</v>
      </c>
      <c r="B512" s="34" cm="1">
        <f t="array" aca="1" ref="B512" ca="1">IFERROR(SEARCH(INDIRECT(CELL("address")),A512),0)</f>
        <v>1</v>
      </c>
      <c r="C512" s="34">
        <f ca="1">IF(B512=0,"",COUNTIF($B$2:B512,"&gt;0"))</f>
        <v>511</v>
      </c>
      <c r="D512" s="34">
        <f t="shared" ca="1" si="7"/>
        <v>0</v>
      </c>
    </row>
    <row r="513" spans="1:4" x14ac:dyDescent="0.4">
      <c r="A513" s="79">
        <f>'Trial Balance Dump'!B517</f>
        <v>0</v>
      </c>
      <c r="B513" s="34" cm="1">
        <f t="array" aca="1" ref="B513" ca="1">IFERROR(SEARCH(INDIRECT(CELL("address")),A513),0)</f>
        <v>1</v>
      </c>
      <c r="C513" s="34">
        <f ca="1">IF(B513=0,"",COUNTIF($B$2:B513,"&gt;0"))</f>
        <v>512</v>
      </c>
      <c r="D513" s="34">
        <f t="shared" ca="1" si="7"/>
        <v>0</v>
      </c>
    </row>
    <row r="514" spans="1:4" x14ac:dyDescent="0.4">
      <c r="A514" s="79">
        <f>'Trial Balance Dump'!B518</f>
        <v>0</v>
      </c>
      <c r="B514" s="34" cm="1">
        <f t="array" aca="1" ref="B514" ca="1">IFERROR(SEARCH(INDIRECT(CELL("address")),A514),0)</f>
        <v>1</v>
      </c>
      <c r="C514" s="34">
        <f ca="1">IF(B514=0,"",COUNTIF($B$2:B514,"&gt;0"))</f>
        <v>513</v>
      </c>
      <c r="D514" s="34">
        <f t="shared" ca="1" si="7"/>
        <v>0</v>
      </c>
    </row>
    <row r="515" spans="1:4" x14ac:dyDescent="0.4">
      <c r="A515" s="79">
        <f>'Trial Balance Dump'!B519</f>
        <v>0</v>
      </c>
      <c r="B515" s="34" cm="1">
        <f t="array" aca="1" ref="B515" ca="1">IFERROR(SEARCH(INDIRECT(CELL("address")),A515),0)</f>
        <v>1</v>
      </c>
      <c r="C515" s="34">
        <f ca="1">IF(B515=0,"",COUNTIF($B$2:B515,"&gt;0"))</f>
        <v>514</v>
      </c>
      <c r="D515" s="34">
        <f t="shared" ref="D515:D578" ca="1" si="8">IFERROR(INDEX(A:A,MATCH(ROW(B514),C:C,0)),"")</f>
        <v>0</v>
      </c>
    </row>
    <row r="516" spans="1:4" x14ac:dyDescent="0.4">
      <c r="A516" s="79">
        <f>'Trial Balance Dump'!B520</f>
        <v>0</v>
      </c>
      <c r="B516" s="34" cm="1">
        <f t="array" aca="1" ref="B516" ca="1">IFERROR(SEARCH(INDIRECT(CELL("address")),A516),0)</f>
        <v>1</v>
      </c>
      <c r="C516" s="34">
        <f ca="1">IF(B516=0,"",COUNTIF($B$2:B516,"&gt;0"))</f>
        <v>515</v>
      </c>
      <c r="D516" s="34">
        <f t="shared" ca="1" si="8"/>
        <v>0</v>
      </c>
    </row>
    <row r="517" spans="1:4" x14ac:dyDescent="0.4">
      <c r="A517" s="79">
        <f>'Trial Balance Dump'!B521</f>
        <v>0</v>
      </c>
      <c r="B517" s="34" cm="1">
        <f t="array" aca="1" ref="B517" ca="1">IFERROR(SEARCH(INDIRECT(CELL("address")),A517),0)</f>
        <v>1</v>
      </c>
      <c r="C517" s="34">
        <f ca="1">IF(B517=0,"",COUNTIF($B$2:B517,"&gt;0"))</f>
        <v>516</v>
      </c>
      <c r="D517" s="34">
        <f t="shared" ca="1" si="8"/>
        <v>0</v>
      </c>
    </row>
    <row r="518" spans="1:4" x14ac:dyDescent="0.4">
      <c r="A518" s="79">
        <f>'Trial Balance Dump'!B522</f>
        <v>0</v>
      </c>
      <c r="B518" s="34" cm="1">
        <f t="array" aca="1" ref="B518" ca="1">IFERROR(SEARCH(INDIRECT(CELL("address")),A518),0)</f>
        <v>1</v>
      </c>
      <c r="C518" s="34">
        <f ca="1">IF(B518=0,"",COUNTIF($B$2:B518,"&gt;0"))</f>
        <v>517</v>
      </c>
      <c r="D518" s="34">
        <f t="shared" ca="1" si="8"/>
        <v>0</v>
      </c>
    </row>
    <row r="519" spans="1:4" x14ac:dyDescent="0.4">
      <c r="A519" s="79">
        <f>'Trial Balance Dump'!B523</f>
        <v>0</v>
      </c>
      <c r="B519" s="34" cm="1">
        <f t="array" aca="1" ref="B519" ca="1">IFERROR(SEARCH(INDIRECT(CELL("address")),A519),0)</f>
        <v>1</v>
      </c>
      <c r="C519" s="34">
        <f ca="1">IF(B519=0,"",COUNTIF($B$2:B519,"&gt;0"))</f>
        <v>518</v>
      </c>
      <c r="D519" s="34">
        <f t="shared" ca="1" si="8"/>
        <v>0</v>
      </c>
    </row>
    <row r="520" spans="1:4" x14ac:dyDescent="0.4">
      <c r="A520" s="79">
        <f>'Trial Balance Dump'!B524</f>
        <v>0</v>
      </c>
      <c r="B520" s="34" cm="1">
        <f t="array" aca="1" ref="B520" ca="1">IFERROR(SEARCH(INDIRECT(CELL("address")),A520),0)</f>
        <v>1</v>
      </c>
      <c r="C520" s="34">
        <f ca="1">IF(B520=0,"",COUNTIF($B$2:B520,"&gt;0"))</f>
        <v>519</v>
      </c>
      <c r="D520" s="34">
        <f t="shared" ca="1" si="8"/>
        <v>0</v>
      </c>
    </row>
    <row r="521" spans="1:4" x14ac:dyDescent="0.4">
      <c r="A521" s="79">
        <f>'Trial Balance Dump'!B525</f>
        <v>0</v>
      </c>
      <c r="B521" s="34" cm="1">
        <f t="array" aca="1" ref="B521" ca="1">IFERROR(SEARCH(INDIRECT(CELL("address")),A521),0)</f>
        <v>1</v>
      </c>
      <c r="C521" s="34">
        <f ca="1">IF(B521=0,"",COUNTIF($B$2:B521,"&gt;0"))</f>
        <v>520</v>
      </c>
      <c r="D521" s="34">
        <f t="shared" ca="1" si="8"/>
        <v>0</v>
      </c>
    </row>
    <row r="522" spans="1:4" x14ac:dyDescent="0.4">
      <c r="A522" s="79">
        <f>'Trial Balance Dump'!B526</f>
        <v>0</v>
      </c>
      <c r="B522" s="34" cm="1">
        <f t="array" aca="1" ref="B522" ca="1">IFERROR(SEARCH(INDIRECT(CELL("address")),A522),0)</f>
        <v>1</v>
      </c>
      <c r="C522" s="34">
        <f ca="1">IF(B522=0,"",COUNTIF($B$2:B522,"&gt;0"))</f>
        <v>521</v>
      </c>
      <c r="D522" s="34">
        <f t="shared" ca="1" si="8"/>
        <v>0</v>
      </c>
    </row>
    <row r="523" spans="1:4" x14ac:dyDescent="0.4">
      <c r="A523" s="79">
        <f>'Trial Balance Dump'!B527</f>
        <v>0</v>
      </c>
      <c r="B523" s="34" cm="1">
        <f t="array" aca="1" ref="B523" ca="1">IFERROR(SEARCH(INDIRECT(CELL("address")),A523),0)</f>
        <v>1</v>
      </c>
      <c r="C523" s="34">
        <f ca="1">IF(B523=0,"",COUNTIF($B$2:B523,"&gt;0"))</f>
        <v>522</v>
      </c>
      <c r="D523" s="34">
        <f t="shared" ca="1" si="8"/>
        <v>0</v>
      </c>
    </row>
    <row r="524" spans="1:4" x14ac:dyDescent="0.4">
      <c r="A524" s="79">
        <f>'Trial Balance Dump'!B528</f>
        <v>0</v>
      </c>
      <c r="B524" s="34" cm="1">
        <f t="array" aca="1" ref="B524" ca="1">IFERROR(SEARCH(INDIRECT(CELL("address")),A524),0)</f>
        <v>1</v>
      </c>
      <c r="C524" s="34">
        <f ca="1">IF(B524=0,"",COUNTIF($B$2:B524,"&gt;0"))</f>
        <v>523</v>
      </c>
      <c r="D524" s="34">
        <f t="shared" ca="1" si="8"/>
        <v>0</v>
      </c>
    </row>
    <row r="525" spans="1:4" x14ac:dyDescent="0.4">
      <c r="A525" s="79">
        <f>'Trial Balance Dump'!B529</f>
        <v>0</v>
      </c>
      <c r="B525" s="34" cm="1">
        <f t="array" aca="1" ref="B525" ca="1">IFERROR(SEARCH(INDIRECT(CELL("address")),A525),0)</f>
        <v>1</v>
      </c>
      <c r="C525" s="34">
        <f ca="1">IF(B525=0,"",COUNTIF($B$2:B525,"&gt;0"))</f>
        <v>524</v>
      </c>
      <c r="D525" s="34">
        <f t="shared" ca="1" si="8"/>
        <v>0</v>
      </c>
    </row>
    <row r="526" spans="1:4" x14ac:dyDescent="0.4">
      <c r="A526" s="79">
        <f>'Trial Balance Dump'!B530</f>
        <v>0</v>
      </c>
      <c r="B526" s="34" cm="1">
        <f t="array" aca="1" ref="B526" ca="1">IFERROR(SEARCH(INDIRECT(CELL("address")),A526),0)</f>
        <v>1</v>
      </c>
      <c r="C526" s="34">
        <f ca="1">IF(B526=0,"",COUNTIF($B$2:B526,"&gt;0"))</f>
        <v>525</v>
      </c>
      <c r="D526" s="34">
        <f t="shared" ca="1" si="8"/>
        <v>0</v>
      </c>
    </row>
    <row r="527" spans="1:4" x14ac:dyDescent="0.4">
      <c r="A527" s="79">
        <f>'Trial Balance Dump'!B531</f>
        <v>0</v>
      </c>
      <c r="B527" s="34" cm="1">
        <f t="array" aca="1" ref="B527" ca="1">IFERROR(SEARCH(INDIRECT(CELL("address")),A527),0)</f>
        <v>1</v>
      </c>
      <c r="C527" s="34">
        <f ca="1">IF(B527=0,"",COUNTIF($B$2:B527,"&gt;0"))</f>
        <v>526</v>
      </c>
      <c r="D527" s="34">
        <f t="shared" ca="1" si="8"/>
        <v>0</v>
      </c>
    </row>
    <row r="528" spans="1:4" x14ac:dyDescent="0.4">
      <c r="A528" s="79">
        <f>'Trial Balance Dump'!B532</f>
        <v>0</v>
      </c>
      <c r="B528" s="34" cm="1">
        <f t="array" aca="1" ref="B528" ca="1">IFERROR(SEARCH(INDIRECT(CELL("address")),A528),0)</f>
        <v>1</v>
      </c>
      <c r="C528" s="34">
        <f ca="1">IF(B528=0,"",COUNTIF($B$2:B528,"&gt;0"))</f>
        <v>527</v>
      </c>
      <c r="D528" s="34">
        <f t="shared" ca="1" si="8"/>
        <v>0</v>
      </c>
    </row>
    <row r="529" spans="1:4" x14ac:dyDescent="0.4">
      <c r="A529" s="79">
        <f>'Trial Balance Dump'!B533</f>
        <v>0</v>
      </c>
      <c r="B529" s="34" cm="1">
        <f t="array" aca="1" ref="B529" ca="1">IFERROR(SEARCH(INDIRECT(CELL("address")),A529),0)</f>
        <v>1</v>
      </c>
      <c r="C529" s="34">
        <f ca="1">IF(B529=0,"",COUNTIF($B$2:B529,"&gt;0"))</f>
        <v>528</v>
      </c>
      <c r="D529" s="34">
        <f t="shared" ca="1" si="8"/>
        <v>0</v>
      </c>
    </row>
    <row r="530" spans="1:4" x14ac:dyDescent="0.4">
      <c r="A530" s="79">
        <f>'Trial Balance Dump'!B534</f>
        <v>0</v>
      </c>
      <c r="B530" s="34" cm="1">
        <f t="array" aca="1" ref="B530" ca="1">IFERROR(SEARCH(INDIRECT(CELL("address")),A530),0)</f>
        <v>1</v>
      </c>
      <c r="C530" s="34">
        <f ca="1">IF(B530=0,"",COUNTIF($B$2:B530,"&gt;0"))</f>
        <v>529</v>
      </c>
      <c r="D530" s="34">
        <f t="shared" ca="1" si="8"/>
        <v>0</v>
      </c>
    </row>
    <row r="531" spans="1:4" x14ac:dyDescent="0.4">
      <c r="A531" s="79">
        <f>'Trial Balance Dump'!B535</f>
        <v>0</v>
      </c>
      <c r="B531" s="34" cm="1">
        <f t="array" aca="1" ref="B531" ca="1">IFERROR(SEARCH(INDIRECT(CELL("address")),A531),0)</f>
        <v>1</v>
      </c>
      <c r="C531" s="34">
        <f ca="1">IF(B531=0,"",COUNTIF($B$2:B531,"&gt;0"))</f>
        <v>530</v>
      </c>
      <c r="D531" s="34">
        <f t="shared" ca="1" si="8"/>
        <v>0</v>
      </c>
    </row>
    <row r="532" spans="1:4" x14ac:dyDescent="0.4">
      <c r="A532" s="79">
        <f>'Trial Balance Dump'!B536</f>
        <v>0</v>
      </c>
      <c r="B532" s="34" cm="1">
        <f t="array" aca="1" ref="B532" ca="1">IFERROR(SEARCH(INDIRECT(CELL("address")),A532),0)</f>
        <v>1</v>
      </c>
      <c r="C532" s="34">
        <f ca="1">IF(B532=0,"",COUNTIF($B$2:B532,"&gt;0"))</f>
        <v>531</v>
      </c>
      <c r="D532" s="34">
        <f t="shared" ca="1" si="8"/>
        <v>0</v>
      </c>
    </row>
    <row r="533" spans="1:4" x14ac:dyDescent="0.4">
      <c r="A533" s="79">
        <f>'Trial Balance Dump'!B537</f>
        <v>0</v>
      </c>
      <c r="B533" s="34" cm="1">
        <f t="array" aca="1" ref="B533" ca="1">IFERROR(SEARCH(INDIRECT(CELL("address")),A533),0)</f>
        <v>1</v>
      </c>
      <c r="C533" s="34">
        <f ca="1">IF(B533=0,"",COUNTIF($B$2:B533,"&gt;0"))</f>
        <v>532</v>
      </c>
      <c r="D533" s="34">
        <f t="shared" ca="1" si="8"/>
        <v>0</v>
      </c>
    </row>
    <row r="534" spans="1:4" x14ac:dyDescent="0.4">
      <c r="A534" s="79">
        <f>'Trial Balance Dump'!B538</f>
        <v>0</v>
      </c>
      <c r="B534" s="34" cm="1">
        <f t="array" aca="1" ref="B534" ca="1">IFERROR(SEARCH(INDIRECT(CELL("address")),A534),0)</f>
        <v>1</v>
      </c>
      <c r="C534" s="34">
        <f ca="1">IF(B534=0,"",COUNTIF($B$2:B534,"&gt;0"))</f>
        <v>533</v>
      </c>
      <c r="D534" s="34">
        <f t="shared" ca="1" si="8"/>
        <v>0</v>
      </c>
    </row>
    <row r="535" spans="1:4" x14ac:dyDescent="0.4">
      <c r="A535" s="79">
        <f>'Trial Balance Dump'!B539</f>
        <v>0</v>
      </c>
      <c r="B535" s="34" cm="1">
        <f t="array" aca="1" ref="B535" ca="1">IFERROR(SEARCH(INDIRECT(CELL("address")),A535),0)</f>
        <v>1</v>
      </c>
      <c r="C535" s="34">
        <f ca="1">IF(B535=0,"",COUNTIF($B$2:B535,"&gt;0"))</f>
        <v>534</v>
      </c>
      <c r="D535" s="34">
        <f t="shared" ca="1" si="8"/>
        <v>0</v>
      </c>
    </row>
    <row r="536" spans="1:4" x14ac:dyDescent="0.4">
      <c r="A536" s="79">
        <f>'Trial Balance Dump'!B540</f>
        <v>0</v>
      </c>
      <c r="B536" s="34" cm="1">
        <f t="array" aca="1" ref="B536" ca="1">IFERROR(SEARCH(INDIRECT(CELL("address")),A536),0)</f>
        <v>1</v>
      </c>
      <c r="C536" s="34">
        <f ca="1">IF(B536=0,"",COUNTIF($B$2:B536,"&gt;0"))</f>
        <v>535</v>
      </c>
      <c r="D536" s="34">
        <f t="shared" ca="1" si="8"/>
        <v>0</v>
      </c>
    </row>
    <row r="537" spans="1:4" x14ac:dyDescent="0.4">
      <c r="A537" s="79">
        <f>'Trial Balance Dump'!B541</f>
        <v>0</v>
      </c>
      <c r="B537" s="34" cm="1">
        <f t="array" aca="1" ref="B537" ca="1">IFERROR(SEARCH(INDIRECT(CELL("address")),A537),0)</f>
        <v>1</v>
      </c>
      <c r="C537" s="34">
        <f ca="1">IF(B537=0,"",COUNTIF($B$2:B537,"&gt;0"))</f>
        <v>536</v>
      </c>
      <c r="D537" s="34">
        <f t="shared" ca="1" si="8"/>
        <v>0</v>
      </c>
    </row>
    <row r="538" spans="1:4" x14ac:dyDescent="0.4">
      <c r="A538" s="79">
        <f>'Trial Balance Dump'!B542</f>
        <v>0</v>
      </c>
      <c r="B538" s="34" cm="1">
        <f t="array" aca="1" ref="B538" ca="1">IFERROR(SEARCH(INDIRECT(CELL("address")),A538),0)</f>
        <v>1</v>
      </c>
      <c r="C538" s="34">
        <f ca="1">IF(B538=0,"",COUNTIF($B$2:B538,"&gt;0"))</f>
        <v>537</v>
      </c>
      <c r="D538" s="34">
        <f t="shared" ca="1" si="8"/>
        <v>0</v>
      </c>
    </row>
    <row r="539" spans="1:4" x14ac:dyDescent="0.4">
      <c r="A539" s="79">
        <f>'Trial Balance Dump'!B543</f>
        <v>0</v>
      </c>
      <c r="B539" s="34" cm="1">
        <f t="array" aca="1" ref="B539" ca="1">IFERROR(SEARCH(INDIRECT(CELL("address")),A539),0)</f>
        <v>1</v>
      </c>
      <c r="C539" s="34">
        <f ca="1">IF(B539=0,"",COUNTIF($B$2:B539,"&gt;0"))</f>
        <v>538</v>
      </c>
      <c r="D539" s="34">
        <f t="shared" ca="1" si="8"/>
        <v>0</v>
      </c>
    </row>
    <row r="540" spans="1:4" x14ac:dyDescent="0.4">
      <c r="A540" s="79">
        <f>'Trial Balance Dump'!B544</f>
        <v>0</v>
      </c>
      <c r="B540" s="34" cm="1">
        <f t="array" aca="1" ref="B540" ca="1">IFERROR(SEARCH(INDIRECT(CELL("address")),A540),0)</f>
        <v>1</v>
      </c>
      <c r="C540" s="34">
        <f ca="1">IF(B540=0,"",COUNTIF($B$2:B540,"&gt;0"))</f>
        <v>539</v>
      </c>
      <c r="D540" s="34">
        <f t="shared" ca="1" si="8"/>
        <v>0</v>
      </c>
    </row>
    <row r="541" spans="1:4" x14ac:dyDescent="0.4">
      <c r="A541" s="79">
        <f>'Trial Balance Dump'!B545</f>
        <v>0</v>
      </c>
      <c r="B541" s="34" cm="1">
        <f t="array" aca="1" ref="B541" ca="1">IFERROR(SEARCH(INDIRECT(CELL("address")),A541),0)</f>
        <v>1</v>
      </c>
      <c r="C541" s="34">
        <f ca="1">IF(B541=0,"",COUNTIF($B$2:B541,"&gt;0"))</f>
        <v>540</v>
      </c>
      <c r="D541" s="34">
        <f t="shared" ca="1" si="8"/>
        <v>0</v>
      </c>
    </row>
    <row r="542" spans="1:4" x14ac:dyDescent="0.4">
      <c r="A542" s="79">
        <f>'Trial Balance Dump'!B546</f>
        <v>0</v>
      </c>
      <c r="B542" s="34" cm="1">
        <f t="array" aca="1" ref="B542" ca="1">IFERROR(SEARCH(INDIRECT(CELL("address")),A542),0)</f>
        <v>1</v>
      </c>
      <c r="C542" s="34">
        <f ca="1">IF(B542=0,"",COUNTIF($B$2:B542,"&gt;0"))</f>
        <v>541</v>
      </c>
      <c r="D542" s="34">
        <f t="shared" ca="1" si="8"/>
        <v>0</v>
      </c>
    </row>
    <row r="543" spans="1:4" x14ac:dyDescent="0.4">
      <c r="A543" s="79">
        <f>'Trial Balance Dump'!B547</f>
        <v>0</v>
      </c>
      <c r="B543" s="34" cm="1">
        <f t="array" aca="1" ref="B543" ca="1">IFERROR(SEARCH(INDIRECT(CELL("address")),A543),0)</f>
        <v>1</v>
      </c>
      <c r="C543" s="34">
        <f ca="1">IF(B543=0,"",COUNTIF($B$2:B543,"&gt;0"))</f>
        <v>542</v>
      </c>
      <c r="D543" s="34">
        <f t="shared" ca="1" si="8"/>
        <v>0</v>
      </c>
    </row>
    <row r="544" spans="1:4" x14ac:dyDescent="0.4">
      <c r="A544" s="79">
        <f>'Trial Balance Dump'!B548</f>
        <v>0</v>
      </c>
      <c r="B544" s="34" cm="1">
        <f t="array" aca="1" ref="B544" ca="1">IFERROR(SEARCH(INDIRECT(CELL("address")),A544),0)</f>
        <v>1</v>
      </c>
      <c r="C544" s="34">
        <f ca="1">IF(B544=0,"",COUNTIF($B$2:B544,"&gt;0"))</f>
        <v>543</v>
      </c>
      <c r="D544" s="34">
        <f t="shared" ca="1" si="8"/>
        <v>0</v>
      </c>
    </row>
    <row r="545" spans="1:4" x14ac:dyDescent="0.4">
      <c r="A545" s="79">
        <f>'Trial Balance Dump'!B549</f>
        <v>0</v>
      </c>
      <c r="B545" s="34" cm="1">
        <f t="array" aca="1" ref="B545" ca="1">IFERROR(SEARCH(INDIRECT(CELL("address")),A545),0)</f>
        <v>1</v>
      </c>
      <c r="C545" s="34">
        <f ca="1">IF(B545=0,"",COUNTIF($B$2:B545,"&gt;0"))</f>
        <v>544</v>
      </c>
      <c r="D545" s="34">
        <f t="shared" ca="1" si="8"/>
        <v>0</v>
      </c>
    </row>
    <row r="546" spans="1:4" x14ac:dyDescent="0.4">
      <c r="A546" s="79">
        <f>'Trial Balance Dump'!B550</f>
        <v>0</v>
      </c>
      <c r="B546" s="34" cm="1">
        <f t="array" aca="1" ref="B546" ca="1">IFERROR(SEARCH(INDIRECT(CELL("address")),A546),0)</f>
        <v>1</v>
      </c>
      <c r="C546" s="34">
        <f ca="1">IF(B546=0,"",COUNTIF($B$2:B546,"&gt;0"))</f>
        <v>545</v>
      </c>
      <c r="D546" s="34">
        <f t="shared" ca="1" si="8"/>
        <v>0</v>
      </c>
    </row>
    <row r="547" spans="1:4" x14ac:dyDescent="0.4">
      <c r="A547" s="79">
        <f>'Trial Balance Dump'!B551</f>
        <v>0</v>
      </c>
      <c r="B547" s="34" cm="1">
        <f t="array" aca="1" ref="B547" ca="1">IFERROR(SEARCH(INDIRECT(CELL("address")),A547),0)</f>
        <v>1</v>
      </c>
      <c r="C547" s="34">
        <f ca="1">IF(B547=0,"",COUNTIF($B$2:B547,"&gt;0"))</f>
        <v>546</v>
      </c>
      <c r="D547" s="34">
        <f t="shared" ca="1" si="8"/>
        <v>0</v>
      </c>
    </row>
    <row r="548" spans="1:4" x14ac:dyDescent="0.4">
      <c r="A548" s="79">
        <f>'Trial Balance Dump'!B552</f>
        <v>0</v>
      </c>
      <c r="B548" s="34" cm="1">
        <f t="array" aca="1" ref="B548" ca="1">IFERROR(SEARCH(INDIRECT(CELL("address")),A548),0)</f>
        <v>1</v>
      </c>
      <c r="C548" s="34">
        <f ca="1">IF(B548=0,"",COUNTIF($B$2:B548,"&gt;0"))</f>
        <v>547</v>
      </c>
      <c r="D548" s="34">
        <f t="shared" ca="1" si="8"/>
        <v>0</v>
      </c>
    </row>
    <row r="549" spans="1:4" x14ac:dyDescent="0.4">
      <c r="A549" s="79">
        <f>'Trial Balance Dump'!B553</f>
        <v>0</v>
      </c>
      <c r="B549" s="34" cm="1">
        <f t="array" aca="1" ref="B549" ca="1">IFERROR(SEARCH(INDIRECT(CELL("address")),A549),0)</f>
        <v>1</v>
      </c>
      <c r="C549" s="34">
        <f ca="1">IF(B549=0,"",COUNTIF($B$2:B549,"&gt;0"))</f>
        <v>548</v>
      </c>
      <c r="D549" s="34">
        <f t="shared" ca="1" si="8"/>
        <v>0</v>
      </c>
    </row>
    <row r="550" spans="1:4" x14ac:dyDescent="0.4">
      <c r="A550" s="79">
        <f>'Trial Balance Dump'!B554</f>
        <v>0</v>
      </c>
      <c r="B550" s="34" cm="1">
        <f t="array" aca="1" ref="B550" ca="1">IFERROR(SEARCH(INDIRECT(CELL("address")),A550),0)</f>
        <v>1</v>
      </c>
      <c r="C550" s="34">
        <f ca="1">IF(B550=0,"",COUNTIF($B$2:B550,"&gt;0"))</f>
        <v>549</v>
      </c>
      <c r="D550" s="34">
        <f t="shared" ca="1" si="8"/>
        <v>0</v>
      </c>
    </row>
    <row r="551" spans="1:4" x14ac:dyDescent="0.4">
      <c r="A551" s="79">
        <f>'Trial Balance Dump'!B555</f>
        <v>0</v>
      </c>
      <c r="B551" s="34" cm="1">
        <f t="array" aca="1" ref="B551" ca="1">IFERROR(SEARCH(INDIRECT(CELL("address")),A551),0)</f>
        <v>1</v>
      </c>
      <c r="C551" s="34">
        <f ca="1">IF(B551=0,"",COUNTIF($B$2:B551,"&gt;0"))</f>
        <v>550</v>
      </c>
      <c r="D551" s="34">
        <f t="shared" ca="1" si="8"/>
        <v>0</v>
      </c>
    </row>
    <row r="552" spans="1:4" x14ac:dyDescent="0.4">
      <c r="A552" s="79">
        <f>'Trial Balance Dump'!B556</f>
        <v>0</v>
      </c>
      <c r="B552" s="34" cm="1">
        <f t="array" aca="1" ref="B552" ca="1">IFERROR(SEARCH(INDIRECT(CELL("address")),A552),0)</f>
        <v>1</v>
      </c>
      <c r="C552" s="34">
        <f ca="1">IF(B552=0,"",COUNTIF($B$2:B552,"&gt;0"))</f>
        <v>551</v>
      </c>
      <c r="D552" s="34">
        <f t="shared" ca="1" si="8"/>
        <v>0</v>
      </c>
    </row>
    <row r="553" spans="1:4" x14ac:dyDescent="0.4">
      <c r="A553" s="79">
        <f>'Trial Balance Dump'!B557</f>
        <v>0</v>
      </c>
      <c r="B553" s="34" cm="1">
        <f t="array" aca="1" ref="B553" ca="1">IFERROR(SEARCH(INDIRECT(CELL("address")),A553),0)</f>
        <v>1</v>
      </c>
      <c r="C553" s="34">
        <f ca="1">IF(B553=0,"",COUNTIF($B$2:B553,"&gt;0"))</f>
        <v>552</v>
      </c>
      <c r="D553" s="34">
        <f t="shared" ca="1" si="8"/>
        <v>0</v>
      </c>
    </row>
    <row r="554" spans="1:4" x14ac:dyDescent="0.4">
      <c r="A554" s="79">
        <f>'Trial Balance Dump'!B558</f>
        <v>0</v>
      </c>
      <c r="B554" s="34" cm="1">
        <f t="array" aca="1" ref="B554" ca="1">IFERROR(SEARCH(INDIRECT(CELL("address")),A554),0)</f>
        <v>1</v>
      </c>
      <c r="C554" s="34">
        <f ca="1">IF(B554=0,"",COUNTIF($B$2:B554,"&gt;0"))</f>
        <v>553</v>
      </c>
      <c r="D554" s="34">
        <f t="shared" ca="1" si="8"/>
        <v>0</v>
      </c>
    </row>
    <row r="555" spans="1:4" x14ac:dyDescent="0.4">
      <c r="A555" s="79">
        <f>'Trial Balance Dump'!B559</f>
        <v>0</v>
      </c>
      <c r="B555" s="34" cm="1">
        <f t="array" aca="1" ref="B555" ca="1">IFERROR(SEARCH(INDIRECT(CELL("address")),A555),0)</f>
        <v>1</v>
      </c>
      <c r="C555" s="34">
        <f ca="1">IF(B555=0,"",COUNTIF($B$2:B555,"&gt;0"))</f>
        <v>554</v>
      </c>
      <c r="D555" s="34">
        <f t="shared" ca="1" si="8"/>
        <v>0</v>
      </c>
    </row>
    <row r="556" spans="1:4" x14ac:dyDescent="0.4">
      <c r="A556" s="79">
        <f>'Trial Balance Dump'!B560</f>
        <v>0</v>
      </c>
      <c r="B556" s="34" cm="1">
        <f t="array" aca="1" ref="B556" ca="1">IFERROR(SEARCH(INDIRECT(CELL("address")),A556),0)</f>
        <v>1</v>
      </c>
      <c r="C556" s="34">
        <f ca="1">IF(B556=0,"",COUNTIF($B$2:B556,"&gt;0"))</f>
        <v>555</v>
      </c>
      <c r="D556" s="34">
        <f t="shared" ca="1" si="8"/>
        <v>0</v>
      </c>
    </row>
    <row r="557" spans="1:4" x14ac:dyDescent="0.4">
      <c r="A557" s="79">
        <f>'Trial Balance Dump'!B561</f>
        <v>0</v>
      </c>
      <c r="B557" s="34" cm="1">
        <f t="array" aca="1" ref="B557" ca="1">IFERROR(SEARCH(INDIRECT(CELL("address")),A557),0)</f>
        <v>1</v>
      </c>
      <c r="C557" s="34">
        <f ca="1">IF(B557=0,"",COUNTIF($B$2:B557,"&gt;0"))</f>
        <v>556</v>
      </c>
      <c r="D557" s="34">
        <f t="shared" ca="1" si="8"/>
        <v>0</v>
      </c>
    </row>
    <row r="558" spans="1:4" x14ac:dyDescent="0.4">
      <c r="A558" s="79">
        <f>'Trial Balance Dump'!B562</f>
        <v>0</v>
      </c>
      <c r="B558" s="34" cm="1">
        <f t="array" aca="1" ref="B558" ca="1">IFERROR(SEARCH(INDIRECT(CELL("address")),A558),0)</f>
        <v>1</v>
      </c>
      <c r="C558" s="34">
        <f ca="1">IF(B558=0,"",COUNTIF($B$2:B558,"&gt;0"))</f>
        <v>557</v>
      </c>
      <c r="D558" s="34">
        <f t="shared" ca="1" si="8"/>
        <v>0</v>
      </c>
    </row>
    <row r="559" spans="1:4" x14ac:dyDescent="0.4">
      <c r="A559" s="79">
        <f>'Trial Balance Dump'!B563</f>
        <v>0</v>
      </c>
      <c r="B559" s="34" cm="1">
        <f t="array" aca="1" ref="B559" ca="1">IFERROR(SEARCH(INDIRECT(CELL("address")),A559),0)</f>
        <v>1</v>
      </c>
      <c r="C559" s="34">
        <f ca="1">IF(B559=0,"",COUNTIF($B$2:B559,"&gt;0"))</f>
        <v>558</v>
      </c>
      <c r="D559" s="34">
        <f t="shared" ca="1" si="8"/>
        <v>0</v>
      </c>
    </row>
    <row r="560" spans="1:4" x14ac:dyDescent="0.4">
      <c r="A560" s="79">
        <f>'Trial Balance Dump'!B564</f>
        <v>0</v>
      </c>
      <c r="B560" s="34" cm="1">
        <f t="array" aca="1" ref="B560" ca="1">IFERROR(SEARCH(INDIRECT(CELL("address")),A560),0)</f>
        <v>1</v>
      </c>
      <c r="C560" s="34">
        <f ca="1">IF(B560=0,"",COUNTIF($B$2:B560,"&gt;0"))</f>
        <v>559</v>
      </c>
      <c r="D560" s="34">
        <f t="shared" ca="1" si="8"/>
        <v>0</v>
      </c>
    </row>
    <row r="561" spans="1:4" x14ac:dyDescent="0.4">
      <c r="A561" s="79">
        <f>'Trial Balance Dump'!B565</f>
        <v>0</v>
      </c>
      <c r="B561" s="34" cm="1">
        <f t="array" aca="1" ref="B561" ca="1">IFERROR(SEARCH(INDIRECT(CELL("address")),A561),0)</f>
        <v>1</v>
      </c>
      <c r="C561" s="34">
        <f ca="1">IF(B561=0,"",COUNTIF($B$2:B561,"&gt;0"))</f>
        <v>560</v>
      </c>
      <c r="D561" s="34">
        <f t="shared" ca="1" si="8"/>
        <v>0</v>
      </c>
    </row>
    <row r="562" spans="1:4" x14ac:dyDescent="0.4">
      <c r="A562" s="79">
        <f>'Trial Balance Dump'!B566</f>
        <v>0</v>
      </c>
      <c r="B562" s="34" cm="1">
        <f t="array" aca="1" ref="B562" ca="1">IFERROR(SEARCH(INDIRECT(CELL("address")),A562),0)</f>
        <v>1</v>
      </c>
      <c r="C562" s="34">
        <f ca="1">IF(B562=0,"",COUNTIF($B$2:B562,"&gt;0"))</f>
        <v>561</v>
      </c>
      <c r="D562" s="34">
        <f t="shared" ca="1" si="8"/>
        <v>0</v>
      </c>
    </row>
    <row r="563" spans="1:4" x14ac:dyDescent="0.4">
      <c r="A563" s="79">
        <f>'Trial Balance Dump'!B567</f>
        <v>0</v>
      </c>
      <c r="B563" s="34" cm="1">
        <f t="array" aca="1" ref="B563" ca="1">IFERROR(SEARCH(INDIRECT(CELL("address")),A563),0)</f>
        <v>1</v>
      </c>
      <c r="C563" s="34">
        <f ca="1">IF(B563=0,"",COUNTIF($B$2:B563,"&gt;0"))</f>
        <v>562</v>
      </c>
      <c r="D563" s="34">
        <f t="shared" ca="1" si="8"/>
        <v>0</v>
      </c>
    </row>
    <row r="564" spans="1:4" x14ac:dyDescent="0.4">
      <c r="A564" s="79">
        <f>'Trial Balance Dump'!B568</f>
        <v>0</v>
      </c>
      <c r="B564" s="34" cm="1">
        <f t="array" aca="1" ref="B564" ca="1">IFERROR(SEARCH(INDIRECT(CELL("address")),A564),0)</f>
        <v>1</v>
      </c>
      <c r="C564" s="34">
        <f ca="1">IF(B564=0,"",COUNTIF($B$2:B564,"&gt;0"))</f>
        <v>563</v>
      </c>
      <c r="D564" s="34">
        <f t="shared" ca="1" si="8"/>
        <v>0</v>
      </c>
    </row>
    <row r="565" spans="1:4" x14ac:dyDescent="0.4">
      <c r="A565" s="79">
        <f>'Trial Balance Dump'!B569</f>
        <v>0</v>
      </c>
      <c r="B565" s="34" cm="1">
        <f t="array" aca="1" ref="B565" ca="1">IFERROR(SEARCH(INDIRECT(CELL("address")),A565),0)</f>
        <v>1</v>
      </c>
      <c r="C565" s="34">
        <f ca="1">IF(B565=0,"",COUNTIF($B$2:B565,"&gt;0"))</f>
        <v>564</v>
      </c>
      <c r="D565" s="34">
        <f t="shared" ca="1" si="8"/>
        <v>0</v>
      </c>
    </row>
    <row r="566" spans="1:4" x14ac:dyDescent="0.4">
      <c r="A566" s="79">
        <f>'Trial Balance Dump'!B570</f>
        <v>0</v>
      </c>
      <c r="B566" s="34" cm="1">
        <f t="array" aca="1" ref="B566" ca="1">IFERROR(SEARCH(INDIRECT(CELL("address")),A566),0)</f>
        <v>1</v>
      </c>
      <c r="C566" s="34">
        <f ca="1">IF(B566=0,"",COUNTIF($B$2:B566,"&gt;0"))</f>
        <v>565</v>
      </c>
      <c r="D566" s="34">
        <f t="shared" ca="1" si="8"/>
        <v>0</v>
      </c>
    </row>
    <row r="567" spans="1:4" x14ac:dyDescent="0.4">
      <c r="A567" s="79">
        <f>'Trial Balance Dump'!B571</f>
        <v>0</v>
      </c>
      <c r="B567" s="34" cm="1">
        <f t="array" aca="1" ref="B567" ca="1">IFERROR(SEARCH(INDIRECT(CELL("address")),A567),0)</f>
        <v>1</v>
      </c>
      <c r="C567" s="34">
        <f ca="1">IF(B567=0,"",COUNTIF($B$2:B567,"&gt;0"))</f>
        <v>566</v>
      </c>
      <c r="D567" s="34">
        <f t="shared" ca="1" si="8"/>
        <v>0</v>
      </c>
    </row>
    <row r="568" spans="1:4" x14ac:dyDescent="0.4">
      <c r="A568" s="79">
        <f>'Trial Balance Dump'!B572</f>
        <v>0</v>
      </c>
      <c r="B568" s="34" cm="1">
        <f t="array" aca="1" ref="B568" ca="1">IFERROR(SEARCH(INDIRECT(CELL("address")),A568),0)</f>
        <v>1</v>
      </c>
      <c r="C568" s="34">
        <f ca="1">IF(B568=0,"",COUNTIF($B$2:B568,"&gt;0"))</f>
        <v>567</v>
      </c>
      <c r="D568" s="34">
        <f t="shared" ca="1" si="8"/>
        <v>0</v>
      </c>
    </row>
    <row r="569" spans="1:4" x14ac:dyDescent="0.4">
      <c r="A569" s="79">
        <f>'Trial Balance Dump'!B573</f>
        <v>0</v>
      </c>
      <c r="B569" s="34" cm="1">
        <f t="array" aca="1" ref="B569" ca="1">IFERROR(SEARCH(INDIRECT(CELL("address")),A569),0)</f>
        <v>1</v>
      </c>
      <c r="C569" s="34">
        <f ca="1">IF(B569=0,"",COUNTIF($B$2:B569,"&gt;0"))</f>
        <v>568</v>
      </c>
      <c r="D569" s="34">
        <f t="shared" ca="1" si="8"/>
        <v>0</v>
      </c>
    </row>
    <row r="570" spans="1:4" x14ac:dyDescent="0.4">
      <c r="A570" s="79">
        <f>'Trial Balance Dump'!B574</f>
        <v>0</v>
      </c>
      <c r="B570" s="34" cm="1">
        <f t="array" aca="1" ref="B570" ca="1">IFERROR(SEARCH(INDIRECT(CELL("address")),A570),0)</f>
        <v>1</v>
      </c>
      <c r="C570" s="34">
        <f ca="1">IF(B570=0,"",COUNTIF($B$2:B570,"&gt;0"))</f>
        <v>569</v>
      </c>
      <c r="D570" s="34">
        <f t="shared" ca="1" si="8"/>
        <v>0</v>
      </c>
    </row>
    <row r="571" spans="1:4" x14ac:dyDescent="0.4">
      <c r="A571" s="79">
        <f>'Trial Balance Dump'!B575</f>
        <v>0</v>
      </c>
      <c r="B571" s="34" cm="1">
        <f t="array" aca="1" ref="B571" ca="1">IFERROR(SEARCH(INDIRECT(CELL("address")),A571),0)</f>
        <v>1</v>
      </c>
      <c r="C571" s="34">
        <f ca="1">IF(B571=0,"",COUNTIF($B$2:B571,"&gt;0"))</f>
        <v>570</v>
      </c>
      <c r="D571" s="34">
        <f t="shared" ca="1" si="8"/>
        <v>0</v>
      </c>
    </row>
    <row r="572" spans="1:4" x14ac:dyDescent="0.4">
      <c r="A572" s="79">
        <f>'Trial Balance Dump'!B576</f>
        <v>0</v>
      </c>
      <c r="B572" s="34" cm="1">
        <f t="array" aca="1" ref="B572" ca="1">IFERROR(SEARCH(INDIRECT(CELL("address")),A572),0)</f>
        <v>1</v>
      </c>
      <c r="C572" s="34">
        <f ca="1">IF(B572=0,"",COUNTIF($B$2:B572,"&gt;0"))</f>
        <v>571</v>
      </c>
      <c r="D572" s="34">
        <f t="shared" ca="1" si="8"/>
        <v>0</v>
      </c>
    </row>
    <row r="573" spans="1:4" x14ac:dyDescent="0.4">
      <c r="A573" s="79">
        <f>'Trial Balance Dump'!B577</f>
        <v>0</v>
      </c>
      <c r="B573" s="34" cm="1">
        <f t="array" aca="1" ref="B573" ca="1">IFERROR(SEARCH(INDIRECT(CELL("address")),A573),0)</f>
        <v>1</v>
      </c>
      <c r="C573" s="34">
        <f ca="1">IF(B573=0,"",COUNTIF($B$2:B573,"&gt;0"))</f>
        <v>572</v>
      </c>
      <c r="D573" s="34">
        <f t="shared" ca="1" si="8"/>
        <v>0</v>
      </c>
    </row>
    <row r="574" spans="1:4" x14ac:dyDescent="0.4">
      <c r="A574" s="79">
        <f>'Trial Balance Dump'!B578</f>
        <v>0</v>
      </c>
      <c r="B574" s="34" cm="1">
        <f t="array" aca="1" ref="B574" ca="1">IFERROR(SEARCH(INDIRECT(CELL("address")),A574),0)</f>
        <v>1</v>
      </c>
      <c r="C574" s="34">
        <f ca="1">IF(B574=0,"",COUNTIF($B$2:B574,"&gt;0"))</f>
        <v>573</v>
      </c>
      <c r="D574" s="34">
        <f t="shared" ca="1" si="8"/>
        <v>0</v>
      </c>
    </row>
    <row r="575" spans="1:4" x14ac:dyDescent="0.4">
      <c r="A575" s="79">
        <f>'Trial Balance Dump'!B579</f>
        <v>0</v>
      </c>
      <c r="B575" s="34" cm="1">
        <f t="array" aca="1" ref="B575" ca="1">IFERROR(SEARCH(INDIRECT(CELL("address")),A575),0)</f>
        <v>1</v>
      </c>
      <c r="C575" s="34">
        <f ca="1">IF(B575=0,"",COUNTIF($B$2:B575,"&gt;0"))</f>
        <v>574</v>
      </c>
      <c r="D575" s="34">
        <f t="shared" ca="1" si="8"/>
        <v>0</v>
      </c>
    </row>
    <row r="576" spans="1:4" x14ac:dyDescent="0.4">
      <c r="A576" s="79">
        <f>'Trial Balance Dump'!B580</f>
        <v>0</v>
      </c>
      <c r="B576" s="34" cm="1">
        <f t="array" aca="1" ref="B576" ca="1">IFERROR(SEARCH(INDIRECT(CELL("address")),A576),0)</f>
        <v>1</v>
      </c>
      <c r="C576" s="34">
        <f ca="1">IF(B576=0,"",COUNTIF($B$2:B576,"&gt;0"))</f>
        <v>575</v>
      </c>
      <c r="D576" s="34">
        <f t="shared" ca="1" si="8"/>
        <v>0</v>
      </c>
    </row>
    <row r="577" spans="1:4" x14ac:dyDescent="0.4">
      <c r="A577" s="79">
        <f>'Trial Balance Dump'!B581</f>
        <v>0</v>
      </c>
      <c r="B577" s="34" cm="1">
        <f t="array" aca="1" ref="B577" ca="1">IFERROR(SEARCH(INDIRECT(CELL("address")),A577),0)</f>
        <v>1</v>
      </c>
      <c r="C577" s="34">
        <f ca="1">IF(B577=0,"",COUNTIF($B$2:B577,"&gt;0"))</f>
        <v>576</v>
      </c>
      <c r="D577" s="34">
        <f t="shared" ca="1" si="8"/>
        <v>0</v>
      </c>
    </row>
    <row r="578" spans="1:4" x14ac:dyDescent="0.4">
      <c r="A578" s="79">
        <f>'Trial Balance Dump'!B582</f>
        <v>0</v>
      </c>
      <c r="B578" s="34" cm="1">
        <f t="array" aca="1" ref="B578" ca="1">IFERROR(SEARCH(INDIRECT(CELL("address")),A578),0)</f>
        <v>1</v>
      </c>
      <c r="C578" s="34">
        <f ca="1">IF(B578=0,"",COUNTIF($B$2:B578,"&gt;0"))</f>
        <v>577</v>
      </c>
      <c r="D578" s="34">
        <f t="shared" ca="1" si="8"/>
        <v>0</v>
      </c>
    </row>
    <row r="579" spans="1:4" x14ac:dyDescent="0.4">
      <c r="A579" s="79">
        <f>'Trial Balance Dump'!B583</f>
        <v>0</v>
      </c>
      <c r="B579" s="34" cm="1">
        <f t="array" aca="1" ref="B579" ca="1">IFERROR(SEARCH(INDIRECT(CELL("address")),A579),0)</f>
        <v>1</v>
      </c>
      <c r="C579" s="34">
        <f ca="1">IF(B579=0,"",COUNTIF($B$2:B579,"&gt;0"))</f>
        <v>578</v>
      </c>
      <c r="D579" s="34">
        <f t="shared" ref="D579:D642" ca="1" si="9">IFERROR(INDEX(A:A,MATCH(ROW(B578),C:C,0)),"")</f>
        <v>0</v>
      </c>
    </row>
    <row r="580" spans="1:4" x14ac:dyDescent="0.4">
      <c r="A580" s="79">
        <f>'Trial Balance Dump'!B584</f>
        <v>0</v>
      </c>
      <c r="B580" s="34" cm="1">
        <f t="array" aca="1" ref="B580" ca="1">IFERROR(SEARCH(INDIRECT(CELL("address")),A580),0)</f>
        <v>1</v>
      </c>
      <c r="C580" s="34">
        <f ca="1">IF(B580=0,"",COUNTIF($B$2:B580,"&gt;0"))</f>
        <v>579</v>
      </c>
      <c r="D580" s="34">
        <f t="shared" ca="1" si="9"/>
        <v>0</v>
      </c>
    </row>
    <row r="581" spans="1:4" x14ac:dyDescent="0.4">
      <c r="A581" s="79">
        <f>'Trial Balance Dump'!B585</f>
        <v>0</v>
      </c>
      <c r="B581" s="34" cm="1">
        <f t="array" aca="1" ref="B581" ca="1">IFERROR(SEARCH(INDIRECT(CELL("address")),A581),0)</f>
        <v>1</v>
      </c>
      <c r="C581" s="34">
        <f ca="1">IF(B581=0,"",COUNTIF($B$2:B581,"&gt;0"))</f>
        <v>580</v>
      </c>
      <c r="D581" s="34">
        <f t="shared" ca="1" si="9"/>
        <v>0</v>
      </c>
    </row>
    <row r="582" spans="1:4" x14ac:dyDescent="0.4">
      <c r="A582" s="79">
        <f>'Trial Balance Dump'!B586</f>
        <v>0</v>
      </c>
      <c r="B582" s="34" cm="1">
        <f t="array" aca="1" ref="B582" ca="1">IFERROR(SEARCH(INDIRECT(CELL("address")),A582),0)</f>
        <v>1</v>
      </c>
      <c r="C582" s="34">
        <f ca="1">IF(B582=0,"",COUNTIF($B$2:B582,"&gt;0"))</f>
        <v>581</v>
      </c>
      <c r="D582" s="34">
        <f t="shared" ca="1" si="9"/>
        <v>0</v>
      </c>
    </row>
    <row r="583" spans="1:4" x14ac:dyDescent="0.4">
      <c r="A583" s="79">
        <f>'Trial Balance Dump'!B587</f>
        <v>0</v>
      </c>
      <c r="B583" s="34" cm="1">
        <f t="array" aca="1" ref="B583" ca="1">IFERROR(SEARCH(INDIRECT(CELL("address")),A583),0)</f>
        <v>1</v>
      </c>
      <c r="C583" s="34">
        <f ca="1">IF(B583=0,"",COUNTIF($B$2:B583,"&gt;0"))</f>
        <v>582</v>
      </c>
      <c r="D583" s="34">
        <f t="shared" ca="1" si="9"/>
        <v>0</v>
      </c>
    </row>
    <row r="584" spans="1:4" x14ac:dyDescent="0.4">
      <c r="A584" s="79">
        <f>'Trial Balance Dump'!B588</f>
        <v>0</v>
      </c>
      <c r="B584" s="34" cm="1">
        <f t="array" aca="1" ref="B584" ca="1">IFERROR(SEARCH(INDIRECT(CELL("address")),A584),0)</f>
        <v>1</v>
      </c>
      <c r="C584" s="34">
        <f ca="1">IF(B584=0,"",COUNTIF($B$2:B584,"&gt;0"))</f>
        <v>583</v>
      </c>
      <c r="D584" s="34">
        <f t="shared" ca="1" si="9"/>
        <v>0</v>
      </c>
    </row>
    <row r="585" spans="1:4" x14ac:dyDescent="0.4">
      <c r="A585" s="79">
        <f>'Trial Balance Dump'!B589</f>
        <v>0</v>
      </c>
      <c r="B585" s="34" cm="1">
        <f t="array" aca="1" ref="B585" ca="1">IFERROR(SEARCH(INDIRECT(CELL("address")),A585),0)</f>
        <v>1</v>
      </c>
      <c r="C585" s="34">
        <f ca="1">IF(B585=0,"",COUNTIF($B$2:B585,"&gt;0"))</f>
        <v>584</v>
      </c>
      <c r="D585" s="34">
        <f t="shared" ca="1" si="9"/>
        <v>0</v>
      </c>
    </row>
    <row r="586" spans="1:4" x14ac:dyDescent="0.4">
      <c r="A586" s="79">
        <f>'Trial Balance Dump'!B590</f>
        <v>0</v>
      </c>
      <c r="B586" s="34" cm="1">
        <f t="array" aca="1" ref="B586" ca="1">IFERROR(SEARCH(INDIRECT(CELL("address")),A586),0)</f>
        <v>1</v>
      </c>
      <c r="C586" s="34">
        <f ca="1">IF(B586=0,"",COUNTIF($B$2:B586,"&gt;0"))</f>
        <v>585</v>
      </c>
      <c r="D586" s="34">
        <f t="shared" ca="1" si="9"/>
        <v>0</v>
      </c>
    </row>
    <row r="587" spans="1:4" x14ac:dyDescent="0.4">
      <c r="A587" s="79">
        <f>'Trial Balance Dump'!B591</f>
        <v>0</v>
      </c>
      <c r="B587" s="34" cm="1">
        <f t="array" aca="1" ref="B587" ca="1">IFERROR(SEARCH(INDIRECT(CELL("address")),A587),0)</f>
        <v>1</v>
      </c>
      <c r="C587" s="34">
        <f ca="1">IF(B587=0,"",COUNTIF($B$2:B587,"&gt;0"))</f>
        <v>586</v>
      </c>
      <c r="D587" s="34">
        <f t="shared" ca="1" si="9"/>
        <v>0</v>
      </c>
    </row>
    <row r="588" spans="1:4" x14ac:dyDescent="0.4">
      <c r="A588" s="79">
        <f>'Trial Balance Dump'!B592</f>
        <v>0</v>
      </c>
      <c r="B588" s="34" cm="1">
        <f t="array" aca="1" ref="B588" ca="1">IFERROR(SEARCH(INDIRECT(CELL("address")),A588),0)</f>
        <v>1</v>
      </c>
      <c r="C588" s="34">
        <f ca="1">IF(B588=0,"",COUNTIF($B$2:B588,"&gt;0"))</f>
        <v>587</v>
      </c>
      <c r="D588" s="34">
        <f t="shared" ca="1" si="9"/>
        <v>0</v>
      </c>
    </row>
    <row r="589" spans="1:4" x14ac:dyDescent="0.4">
      <c r="A589" s="79">
        <f>'Trial Balance Dump'!B593</f>
        <v>0</v>
      </c>
      <c r="B589" s="34" cm="1">
        <f t="array" aca="1" ref="B589" ca="1">IFERROR(SEARCH(INDIRECT(CELL("address")),A589),0)</f>
        <v>1</v>
      </c>
      <c r="C589" s="34">
        <f ca="1">IF(B589=0,"",COUNTIF($B$2:B589,"&gt;0"))</f>
        <v>588</v>
      </c>
      <c r="D589" s="34">
        <f t="shared" ca="1" si="9"/>
        <v>0</v>
      </c>
    </row>
    <row r="590" spans="1:4" x14ac:dyDescent="0.4">
      <c r="A590" s="79">
        <f>'Trial Balance Dump'!B594</f>
        <v>0</v>
      </c>
      <c r="B590" s="34" cm="1">
        <f t="array" aca="1" ref="B590" ca="1">IFERROR(SEARCH(INDIRECT(CELL("address")),A590),0)</f>
        <v>1</v>
      </c>
      <c r="C590" s="34">
        <f ca="1">IF(B590=0,"",COUNTIF($B$2:B590,"&gt;0"))</f>
        <v>589</v>
      </c>
      <c r="D590" s="34">
        <f t="shared" ca="1" si="9"/>
        <v>0</v>
      </c>
    </row>
    <row r="591" spans="1:4" x14ac:dyDescent="0.4">
      <c r="A591" s="79">
        <f>'Trial Balance Dump'!B595</f>
        <v>0</v>
      </c>
      <c r="B591" s="34" cm="1">
        <f t="array" aca="1" ref="B591" ca="1">IFERROR(SEARCH(INDIRECT(CELL("address")),A591),0)</f>
        <v>1</v>
      </c>
      <c r="C591" s="34">
        <f ca="1">IF(B591=0,"",COUNTIF($B$2:B591,"&gt;0"))</f>
        <v>590</v>
      </c>
      <c r="D591" s="34">
        <f t="shared" ca="1" si="9"/>
        <v>0</v>
      </c>
    </row>
    <row r="592" spans="1:4" x14ac:dyDescent="0.4">
      <c r="A592" s="79">
        <f>'Trial Balance Dump'!B596</f>
        <v>0</v>
      </c>
      <c r="B592" s="34" cm="1">
        <f t="array" aca="1" ref="B592" ca="1">IFERROR(SEARCH(INDIRECT(CELL("address")),A592),0)</f>
        <v>1</v>
      </c>
      <c r="C592" s="34">
        <f ca="1">IF(B592=0,"",COUNTIF($B$2:B592,"&gt;0"))</f>
        <v>591</v>
      </c>
      <c r="D592" s="34">
        <f t="shared" ca="1" si="9"/>
        <v>0</v>
      </c>
    </row>
    <row r="593" spans="1:4" x14ac:dyDescent="0.4">
      <c r="A593" s="79">
        <f>'Trial Balance Dump'!B597</f>
        <v>0</v>
      </c>
      <c r="B593" s="34" cm="1">
        <f t="array" aca="1" ref="B593" ca="1">IFERROR(SEARCH(INDIRECT(CELL("address")),A593),0)</f>
        <v>1</v>
      </c>
      <c r="C593" s="34">
        <f ca="1">IF(B593=0,"",COUNTIF($B$2:B593,"&gt;0"))</f>
        <v>592</v>
      </c>
      <c r="D593" s="34">
        <f t="shared" ca="1" si="9"/>
        <v>0</v>
      </c>
    </row>
    <row r="594" spans="1:4" x14ac:dyDescent="0.4">
      <c r="A594" s="79">
        <f>'Trial Balance Dump'!B598</f>
        <v>0</v>
      </c>
      <c r="B594" s="34" cm="1">
        <f t="array" aca="1" ref="B594" ca="1">IFERROR(SEARCH(INDIRECT(CELL("address")),A594),0)</f>
        <v>1</v>
      </c>
      <c r="C594" s="34">
        <f ca="1">IF(B594=0,"",COUNTIF($B$2:B594,"&gt;0"))</f>
        <v>593</v>
      </c>
      <c r="D594" s="34">
        <f t="shared" ca="1" si="9"/>
        <v>0</v>
      </c>
    </row>
    <row r="595" spans="1:4" x14ac:dyDescent="0.4">
      <c r="A595" s="79">
        <f>'Trial Balance Dump'!B599</f>
        <v>0</v>
      </c>
      <c r="B595" s="34" cm="1">
        <f t="array" aca="1" ref="B595" ca="1">IFERROR(SEARCH(INDIRECT(CELL("address")),A595),0)</f>
        <v>1</v>
      </c>
      <c r="C595" s="34">
        <f ca="1">IF(B595=0,"",COUNTIF($B$2:B595,"&gt;0"))</f>
        <v>594</v>
      </c>
      <c r="D595" s="34">
        <f t="shared" ca="1" si="9"/>
        <v>0</v>
      </c>
    </row>
    <row r="596" spans="1:4" x14ac:dyDescent="0.4">
      <c r="A596" s="79">
        <f>'Trial Balance Dump'!B600</f>
        <v>0</v>
      </c>
      <c r="B596" s="34" cm="1">
        <f t="array" aca="1" ref="B596" ca="1">IFERROR(SEARCH(INDIRECT(CELL("address")),A596),0)</f>
        <v>1</v>
      </c>
      <c r="C596" s="34">
        <f ca="1">IF(B596=0,"",COUNTIF($B$2:B596,"&gt;0"))</f>
        <v>595</v>
      </c>
      <c r="D596" s="34">
        <f t="shared" ca="1" si="9"/>
        <v>0</v>
      </c>
    </row>
    <row r="597" spans="1:4" x14ac:dyDescent="0.4">
      <c r="A597" s="79">
        <f>'Trial Balance Dump'!B601</f>
        <v>0</v>
      </c>
      <c r="B597" s="34" cm="1">
        <f t="array" aca="1" ref="B597" ca="1">IFERROR(SEARCH(INDIRECT(CELL("address")),A597),0)</f>
        <v>1</v>
      </c>
      <c r="C597" s="34">
        <f ca="1">IF(B597=0,"",COUNTIF($B$2:B597,"&gt;0"))</f>
        <v>596</v>
      </c>
      <c r="D597" s="34">
        <f t="shared" ca="1" si="9"/>
        <v>0</v>
      </c>
    </row>
    <row r="598" spans="1:4" x14ac:dyDescent="0.4">
      <c r="A598" s="79">
        <f>'Trial Balance Dump'!B602</f>
        <v>0</v>
      </c>
      <c r="B598" s="34" cm="1">
        <f t="array" aca="1" ref="B598" ca="1">IFERROR(SEARCH(INDIRECT(CELL("address")),A598),0)</f>
        <v>1</v>
      </c>
      <c r="C598" s="34">
        <f ca="1">IF(B598=0,"",COUNTIF($B$2:B598,"&gt;0"))</f>
        <v>597</v>
      </c>
      <c r="D598" s="34">
        <f t="shared" ca="1" si="9"/>
        <v>0</v>
      </c>
    </row>
    <row r="599" spans="1:4" x14ac:dyDescent="0.4">
      <c r="A599" s="79">
        <f>'Trial Balance Dump'!B603</f>
        <v>0</v>
      </c>
      <c r="B599" s="34" cm="1">
        <f t="array" aca="1" ref="B599" ca="1">IFERROR(SEARCH(INDIRECT(CELL("address")),A599),0)</f>
        <v>1</v>
      </c>
      <c r="C599" s="34">
        <f ca="1">IF(B599=0,"",COUNTIF($B$2:B599,"&gt;0"))</f>
        <v>598</v>
      </c>
      <c r="D599" s="34">
        <f t="shared" ca="1" si="9"/>
        <v>0</v>
      </c>
    </row>
    <row r="600" spans="1:4" x14ac:dyDescent="0.4">
      <c r="A600" s="79">
        <f>'Trial Balance Dump'!B604</f>
        <v>0</v>
      </c>
      <c r="B600" s="34" cm="1">
        <f t="array" aca="1" ref="B600" ca="1">IFERROR(SEARCH(INDIRECT(CELL("address")),A600),0)</f>
        <v>1</v>
      </c>
      <c r="C600" s="34">
        <f ca="1">IF(B600=0,"",COUNTIF($B$2:B600,"&gt;0"))</f>
        <v>599</v>
      </c>
      <c r="D600" s="34">
        <f t="shared" ca="1" si="9"/>
        <v>0</v>
      </c>
    </row>
    <row r="601" spans="1:4" x14ac:dyDescent="0.4">
      <c r="A601" s="79">
        <f>'Trial Balance Dump'!B605</f>
        <v>0</v>
      </c>
      <c r="B601" s="34" cm="1">
        <f t="array" aca="1" ref="B601" ca="1">IFERROR(SEARCH(INDIRECT(CELL("address")),A601),0)</f>
        <v>1</v>
      </c>
      <c r="C601" s="34">
        <f ca="1">IF(B601=0,"",COUNTIF($B$2:B601,"&gt;0"))</f>
        <v>600</v>
      </c>
      <c r="D601" s="34">
        <f t="shared" ca="1" si="9"/>
        <v>0</v>
      </c>
    </row>
    <row r="602" spans="1:4" x14ac:dyDescent="0.4">
      <c r="A602" s="79">
        <f>'Trial Balance Dump'!B606</f>
        <v>0</v>
      </c>
      <c r="B602" s="34" cm="1">
        <f t="array" aca="1" ref="B602" ca="1">IFERROR(SEARCH(INDIRECT(CELL("address")),A602),0)</f>
        <v>1</v>
      </c>
      <c r="C602" s="34">
        <f ca="1">IF(B602=0,"",COUNTIF($B$2:B602,"&gt;0"))</f>
        <v>601</v>
      </c>
      <c r="D602" s="34">
        <f t="shared" ca="1" si="9"/>
        <v>0</v>
      </c>
    </row>
    <row r="603" spans="1:4" x14ac:dyDescent="0.4">
      <c r="A603" s="79">
        <f>'Trial Balance Dump'!B607</f>
        <v>0</v>
      </c>
      <c r="B603" s="34" cm="1">
        <f t="array" aca="1" ref="B603" ca="1">IFERROR(SEARCH(INDIRECT(CELL("address")),A603),0)</f>
        <v>1</v>
      </c>
      <c r="C603" s="34">
        <f ca="1">IF(B603=0,"",COUNTIF($B$2:B603,"&gt;0"))</f>
        <v>602</v>
      </c>
      <c r="D603" s="34">
        <f t="shared" ca="1" si="9"/>
        <v>0</v>
      </c>
    </row>
    <row r="604" spans="1:4" x14ac:dyDescent="0.4">
      <c r="A604" s="79">
        <f>'Trial Balance Dump'!B608</f>
        <v>0</v>
      </c>
      <c r="B604" s="34" cm="1">
        <f t="array" aca="1" ref="B604" ca="1">IFERROR(SEARCH(INDIRECT(CELL("address")),A604),0)</f>
        <v>1</v>
      </c>
      <c r="C604" s="34">
        <f ca="1">IF(B604=0,"",COUNTIF($B$2:B604,"&gt;0"))</f>
        <v>603</v>
      </c>
      <c r="D604" s="34">
        <f t="shared" ca="1" si="9"/>
        <v>0</v>
      </c>
    </row>
    <row r="605" spans="1:4" x14ac:dyDescent="0.4">
      <c r="A605" s="79">
        <f>'Trial Balance Dump'!B609</f>
        <v>0</v>
      </c>
      <c r="B605" s="34" cm="1">
        <f t="array" aca="1" ref="B605" ca="1">IFERROR(SEARCH(INDIRECT(CELL("address")),A605),0)</f>
        <v>1</v>
      </c>
      <c r="C605" s="34">
        <f ca="1">IF(B605=0,"",COUNTIF($B$2:B605,"&gt;0"))</f>
        <v>604</v>
      </c>
      <c r="D605" s="34">
        <f t="shared" ca="1" si="9"/>
        <v>0</v>
      </c>
    </row>
    <row r="606" spans="1:4" x14ac:dyDescent="0.4">
      <c r="A606" s="79">
        <f>'Trial Balance Dump'!B610</f>
        <v>0</v>
      </c>
      <c r="B606" s="34" cm="1">
        <f t="array" aca="1" ref="B606" ca="1">IFERROR(SEARCH(INDIRECT(CELL("address")),A606),0)</f>
        <v>1</v>
      </c>
      <c r="C606" s="34">
        <f ca="1">IF(B606=0,"",COUNTIF($B$2:B606,"&gt;0"))</f>
        <v>605</v>
      </c>
      <c r="D606" s="34">
        <f t="shared" ca="1" si="9"/>
        <v>0</v>
      </c>
    </row>
    <row r="607" spans="1:4" x14ac:dyDescent="0.4">
      <c r="A607" s="79">
        <f>'Trial Balance Dump'!B611</f>
        <v>0</v>
      </c>
      <c r="B607" s="34" cm="1">
        <f t="array" aca="1" ref="B607" ca="1">IFERROR(SEARCH(INDIRECT(CELL("address")),A607),0)</f>
        <v>1</v>
      </c>
      <c r="C607" s="34">
        <f ca="1">IF(B607=0,"",COUNTIF($B$2:B607,"&gt;0"))</f>
        <v>606</v>
      </c>
      <c r="D607" s="34">
        <f t="shared" ca="1" si="9"/>
        <v>0</v>
      </c>
    </row>
    <row r="608" spans="1:4" x14ac:dyDescent="0.4">
      <c r="A608" s="79">
        <f>'Trial Balance Dump'!B612</f>
        <v>0</v>
      </c>
      <c r="B608" s="34" cm="1">
        <f t="array" aca="1" ref="B608" ca="1">IFERROR(SEARCH(INDIRECT(CELL("address")),A608),0)</f>
        <v>1</v>
      </c>
      <c r="C608" s="34">
        <f ca="1">IF(B608=0,"",COUNTIF($B$2:B608,"&gt;0"))</f>
        <v>607</v>
      </c>
      <c r="D608" s="34">
        <f t="shared" ca="1" si="9"/>
        <v>0</v>
      </c>
    </row>
    <row r="609" spans="1:4" x14ac:dyDescent="0.4">
      <c r="A609" s="79">
        <f>'Trial Balance Dump'!B613</f>
        <v>0</v>
      </c>
      <c r="B609" s="34" cm="1">
        <f t="array" aca="1" ref="B609" ca="1">IFERROR(SEARCH(INDIRECT(CELL("address")),A609),0)</f>
        <v>1</v>
      </c>
      <c r="C609" s="34">
        <f ca="1">IF(B609=0,"",COUNTIF($B$2:B609,"&gt;0"))</f>
        <v>608</v>
      </c>
      <c r="D609" s="34">
        <f t="shared" ca="1" si="9"/>
        <v>0</v>
      </c>
    </row>
    <row r="610" spans="1:4" x14ac:dyDescent="0.4">
      <c r="A610" s="79">
        <f>'Trial Balance Dump'!B614</f>
        <v>0</v>
      </c>
      <c r="B610" s="34" cm="1">
        <f t="array" aca="1" ref="B610" ca="1">IFERROR(SEARCH(INDIRECT(CELL("address")),A610),0)</f>
        <v>1</v>
      </c>
      <c r="C610" s="34">
        <f ca="1">IF(B610=0,"",COUNTIF($B$2:B610,"&gt;0"))</f>
        <v>609</v>
      </c>
      <c r="D610" s="34">
        <f t="shared" ca="1" si="9"/>
        <v>0</v>
      </c>
    </row>
    <row r="611" spans="1:4" x14ac:dyDescent="0.4">
      <c r="A611" s="79">
        <f>'Trial Balance Dump'!B615</f>
        <v>0</v>
      </c>
      <c r="B611" s="34" cm="1">
        <f t="array" aca="1" ref="B611" ca="1">IFERROR(SEARCH(INDIRECT(CELL("address")),A611),0)</f>
        <v>1</v>
      </c>
      <c r="C611" s="34">
        <f ca="1">IF(B611=0,"",COUNTIF($B$2:B611,"&gt;0"))</f>
        <v>610</v>
      </c>
      <c r="D611" s="34">
        <f t="shared" ca="1" si="9"/>
        <v>0</v>
      </c>
    </row>
    <row r="612" spans="1:4" x14ac:dyDescent="0.4">
      <c r="A612" s="79">
        <f>'Trial Balance Dump'!B616</f>
        <v>0</v>
      </c>
      <c r="B612" s="34" cm="1">
        <f t="array" aca="1" ref="B612" ca="1">IFERROR(SEARCH(INDIRECT(CELL("address")),A612),0)</f>
        <v>1</v>
      </c>
      <c r="C612" s="34">
        <f ca="1">IF(B612=0,"",COUNTIF($B$2:B612,"&gt;0"))</f>
        <v>611</v>
      </c>
      <c r="D612" s="34">
        <f t="shared" ca="1" si="9"/>
        <v>0</v>
      </c>
    </row>
    <row r="613" spans="1:4" x14ac:dyDescent="0.4">
      <c r="A613" s="79">
        <f>'Trial Balance Dump'!B617</f>
        <v>0</v>
      </c>
      <c r="B613" s="34" cm="1">
        <f t="array" aca="1" ref="B613" ca="1">IFERROR(SEARCH(INDIRECT(CELL("address")),A613),0)</f>
        <v>1</v>
      </c>
      <c r="C613" s="34">
        <f ca="1">IF(B613=0,"",COUNTIF($B$2:B613,"&gt;0"))</f>
        <v>612</v>
      </c>
      <c r="D613" s="34">
        <f t="shared" ca="1" si="9"/>
        <v>0</v>
      </c>
    </row>
    <row r="614" spans="1:4" x14ac:dyDescent="0.4">
      <c r="A614" s="79">
        <f>'Trial Balance Dump'!B618</f>
        <v>0</v>
      </c>
      <c r="B614" s="34" cm="1">
        <f t="array" aca="1" ref="B614" ca="1">IFERROR(SEARCH(INDIRECT(CELL("address")),A614),0)</f>
        <v>1</v>
      </c>
      <c r="C614" s="34">
        <f ca="1">IF(B614=0,"",COUNTIF($B$2:B614,"&gt;0"))</f>
        <v>613</v>
      </c>
      <c r="D614" s="34">
        <f t="shared" ca="1" si="9"/>
        <v>0</v>
      </c>
    </row>
    <row r="615" spans="1:4" x14ac:dyDescent="0.4">
      <c r="A615" s="79">
        <f>'Trial Balance Dump'!B619</f>
        <v>0</v>
      </c>
      <c r="B615" s="34" cm="1">
        <f t="array" aca="1" ref="B615" ca="1">IFERROR(SEARCH(INDIRECT(CELL("address")),A615),0)</f>
        <v>1</v>
      </c>
      <c r="C615" s="34">
        <f ca="1">IF(B615=0,"",COUNTIF($B$2:B615,"&gt;0"))</f>
        <v>614</v>
      </c>
      <c r="D615" s="34">
        <f t="shared" ca="1" si="9"/>
        <v>0</v>
      </c>
    </row>
    <row r="616" spans="1:4" x14ac:dyDescent="0.4">
      <c r="A616" s="79">
        <f>'Trial Balance Dump'!B620</f>
        <v>0</v>
      </c>
      <c r="B616" s="34" cm="1">
        <f t="array" aca="1" ref="B616" ca="1">IFERROR(SEARCH(INDIRECT(CELL("address")),A616),0)</f>
        <v>1</v>
      </c>
      <c r="C616" s="34">
        <f ca="1">IF(B616=0,"",COUNTIF($B$2:B616,"&gt;0"))</f>
        <v>615</v>
      </c>
      <c r="D616" s="34">
        <f t="shared" ca="1" si="9"/>
        <v>0</v>
      </c>
    </row>
    <row r="617" spans="1:4" x14ac:dyDescent="0.4">
      <c r="A617" s="79">
        <f>'Trial Balance Dump'!B621</f>
        <v>0</v>
      </c>
      <c r="B617" s="34" cm="1">
        <f t="array" aca="1" ref="B617" ca="1">IFERROR(SEARCH(INDIRECT(CELL("address")),A617),0)</f>
        <v>1</v>
      </c>
      <c r="C617" s="34">
        <f ca="1">IF(B617=0,"",COUNTIF($B$2:B617,"&gt;0"))</f>
        <v>616</v>
      </c>
      <c r="D617" s="34">
        <f t="shared" ca="1" si="9"/>
        <v>0</v>
      </c>
    </row>
    <row r="618" spans="1:4" x14ac:dyDescent="0.4">
      <c r="A618" s="79">
        <f>'Trial Balance Dump'!B622</f>
        <v>0</v>
      </c>
      <c r="B618" s="34" cm="1">
        <f t="array" aca="1" ref="B618" ca="1">IFERROR(SEARCH(INDIRECT(CELL("address")),A618),0)</f>
        <v>1</v>
      </c>
      <c r="C618" s="34">
        <f ca="1">IF(B618=0,"",COUNTIF($B$2:B618,"&gt;0"))</f>
        <v>617</v>
      </c>
      <c r="D618" s="34">
        <f t="shared" ca="1" si="9"/>
        <v>0</v>
      </c>
    </row>
    <row r="619" spans="1:4" x14ac:dyDescent="0.4">
      <c r="A619" s="79">
        <f>'Trial Balance Dump'!B623</f>
        <v>0</v>
      </c>
      <c r="B619" s="34" cm="1">
        <f t="array" aca="1" ref="B619" ca="1">IFERROR(SEARCH(INDIRECT(CELL("address")),A619),0)</f>
        <v>1</v>
      </c>
      <c r="C619" s="34">
        <f ca="1">IF(B619=0,"",COUNTIF($B$2:B619,"&gt;0"))</f>
        <v>618</v>
      </c>
      <c r="D619" s="34">
        <f t="shared" ca="1" si="9"/>
        <v>0</v>
      </c>
    </row>
    <row r="620" spans="1:4" x14ac:dyDescent="0.4">
      <c r="A620" s="79">
        <f>'Trial Balance Dump'!B624</f>
        <v>0</v>
      </c>
      <c r="B620" s="34" cm="1">
        <f t="array" aca="1" ref="B620" ca="1">IFERROR(SEARCH(INDIRECT(CELL("address")),A620),0)</f>
        <v>1</v>
      </c>
      <c r="C620" s="34">
        <f ca="1">IF(B620=0,"",COUNTIF($B$2:B620,"&gt;0"))</f>
        <v>619</v>
      </c>
      <c r="D620" s="34">
        <f t="shared" ca="1" si="9"/>
        <v>0</v>
      </c>
    </row>
    <row r="621" spans="1:4" x14ac:dyDescent="0.4">
      <c r="A621" s="79">
        <f>'Trial Balance Dump'!B625</f>
        <v>0</v>
      </c>
      <c r="B621" s="34" cm="1">
        <f t="array" aca="1" ref="B621" ca="1">IFERROR(SEARCH(INDIRECT(CELL("address")),A621),0)</f>
        <v>1</v>
      </c>
      <c r="C621" s="34">
        <f ca="1">IF(B621=0,"",COUNTIF($B$2:B621,"&gt;0"))</f>
        <v>620</v>
      </c>
      <c r="D621" s="34">
        <f t="shared" ca="1" si="9"/>
        <v>0</v>
      </c>
    </row>
    <row r="622" spans="1:4" x14ac:dyDescent="0.4">
      <c r="A622" s="79">
        <f>'Trial Balance Dump'!B626</f>
        <v>0</v>
      </c>
      <c r="B622" s="34" cm="1">
        <f t="array" aca="1" ref="B622" ca="1">IFERROR(SEARCH(INDIRECT(CELL("address")),A622),0)</f>
        <v>1</v>
      </c>
      <c r="C622" s="34">
        <f ca="1">IF(B622=0,"",COUNTIF($B$2:B622,"&gt;0"))</f>
        <v>621</v>
      </c>
      <c r="D622" s="34">
        <f t="shared" ca="1" si="9"/>
        <v>0</v>
      </c>
    </row>
    <row r="623" spans="1:4" x14ac:dyDescent="0.4">
      <c r="A623" s="79">
        <f>'Trial Balance Dump'!B627</f>
        <v>0</v>
      </c>
      <c r="B623" s="34" cm="1">
        <f t="array" aca="1" ref="B623" ca="1">IFERROR(SEARCH(INDIRECT(CELL("address")),A623),0)</f>
        <v>1</v>
      </c>
      <c r="C623" s="34">
        <f ca="1">IF(B623=0,"",COUNTIF($B$2:B623,"&gt;0"))</f>
        <v>622</v>
      </c>
      <c r="D623" s="34">
        <f t="shared" ca="1" si="9"/>
        <v>0</v>
      </c>
    </row>
    <row r="624" spans="1:4" x14ac:dyDescent="0.4">
      <c r="A624" s="79">
        <f>'Trial Balance Dump'!B628</f>
        <v>0</v>
      </c>
      <c r="B624" s="34" cm="1">
        <f t="array" aca="1" ref="B624" ca="1">IFERROR(SEARCH(INDIRECT(CELL("address")),A624),0)</f>
        <v>1</v>
      </c>
      <c r="C624" s="34">
        <f ca="1">IF(B624=0,"",COUNTIF($B$2:B624,"&gt;0"))</f>
        <v>623</v>
      </c>
      <c r="D624" s="34">
        <f t="shared" ca="1" si="9"/>
        <v>0</v>
      </c>
    </row>
    <row r="625" spans="1:4" x14ac:dyDescent="0.4">
      <c r="A625" s="79">
        <f>'Trial Balance Dump'!B629</f>
        <v>0</v>
      </c>
      <c r="B625" s="34" cm="1">
        <f t="array" aca="1" ref="B625" ca="1">IFERROR(SEARCH(INDIRECT(CELL("address")),A625),0)</f>
        <v>1</v>
      </c>
      <c r="C625" s="34">
        <f ca="1">IF(B625=0,"",COUNTIF($B$2:B625,"&gt;0"))</f>
        <v>624</v>
      </c>
      <c r="D625" s="34">
        <f t="shared" ca="1" si="9"/>
        <v>0</v>
      </c>
    </row>
    <row r="626" spans="1:4" x14ac:dyDescent="0.4">
      <c r="A626" s="79">
        <f>'Trial Balance Dump'!B630</f>
        <v>0</v>
      </c>
      <c r="B626" s="34" cm="1">
        <f t="array" aca="1" ref="B626" ca="1">IFERROR(SEARCH(INDIRECT(CELL("address")),A626),0)</f>
        <v>1</v>
      </c>
      <c r="C626" s="34">
        <f ca="1">IF(B626=0,"",COUNTIF($B$2:B626,"&gt;0"))</f>
        <v>625</v>
      </c>
      <c r="D626" s="34">
        <f t="shared" ca="1" si="9"/>
        <v>0</v>
      </c>
    </row>
    <row r="627" spans="1:4" x14ac:dyDescent="0.4">
      <c r="A627" s="79">
        <f>'Trial Balance Dump'!B631</f>
        <v>0</v>
      </c>
      <c r="B627" s="34" cm="1">
        <f t="array" aca="1" ref="B627" ca="1">IFERROR(SEARCH(INDIRECT(CELL("address")),A627),0)</f>
        <v>1</v>
      </c>
      <c r="C627" s="34">
        <f ca="1">IF(B627=0,"",COUNTIF($B$2:B627,"&gt;0"))</f>
        <v>626</v>
      </c>
      <c r="D627" s="34">
        <f t="shared" ca="1" si="9"/>
        <v>0</v>
      </c>
    </row>
    <row r="628" spans="1:4" x14ac:dyDescent="0.4">
      <c r="A628" s="79">
        <f>'Trial Balance Dump'!B632</f>
        <v>0</v>
      </c>
      <c r="B628" s="34" cm="1">
        <f t="array" aca="1" ref="B628" ca="1">IFERROR(SEARCH(INDIRECT(CELL("address")),A628),0)</f>
        <v>1</v>
      </c>
      <c r="C628" s="34">
        <f ca="1">IF(B628=0,"",COUNTIF($B$2:B628,"&gt;0"))</f>
        <v>627</v>
      </c>
      <c r="D628" s="34">
        <f t="shared" ca="1" si="9"/>
        <v>0</v>
      </c>
    </row>
    <row r="629" spans="1:4" x14ac:dyDescent="0.4">
      <c r="A629" s="79">
        <f>'Trial Balance Dump'!B633</f>
        <v>0</v>
      </c>
      <c r="B629" s="34" cm="1">
        <f t="array" aca="1" ref="B629" ca="1">IFERROR(SEARCH(INDIRECT(CELL("address")),A629),0)</f>
        <v>1</v>
      </c>
      <c r="C629" s="34">
        <f ca="1">IF(B629=0,"",COUNTIF($B$2:B629,"&gt;0"))</f>
        <v>628</v>
      </c>
      <c r="D629" s="34">
        <f t="shared" ca="1" si="9"/>
        <v>0</v>
      </c>
    </row>
    <row r="630" spans="1:4" x14ac:dyDescent="0.4">
      <c r="A630" s="79">
        <f>'Trial Balance Dump'!B634</f>
        <v>0</v>
      </c>
      <c r="B630" s="34" cm="1">
        <f t="array" aca="1" ref="B630" ca="1">IFERROR(SEARCH(INDIRECT(CELL("address")),A630),0)</f>
        <v>1</v>
      </c>
      <c r="C630" s="34">
        <f ca="1">IF(B630=0,"",COUNTIF($B$2:B630,"&gt;0"))</f>
        <v>629</v>
      </c>
      <c r="D630" s="34">
        <f t="shared" ca="1" si="9"/>
        <v>0</v>
      </c>
    </row>
    <row r="631" spans="1:4" x14ac:dyDescent="0.4">
      <c r="A631" s="79">
        <f>'Trial Balance Dump'!B635</f>
        <v>0</v>
      </c>
      <c r="B631" s="34" cm="1">
        <f t="array" aca="1" ref="B631" ca="1">IFERROR(SEARCH(INDIRECT(CELL("address")),A631),0)</f>
        <v>1</v>
      </c>
      <c r="C631" s="34">
        <f ca="1">IF(B631=0,"",COUNTIF($B$2:B631,"&gt;0"))</f>
        <v>630</v>
      </c>
      <c r="D631" s="34">
        <f t="shared" ca="1" si="9"/>
        <v>0</v>
      </c>
    </row>
    <row r="632" spans="1:4" x14ac:dyDescent="0.4">
      <c r="A632" s="79">
        <f>'Trial Balance Dump'!B636</f>
        <v>0</v>
      </c>
      <c r="B632" s="34" cm="1">
        <f t="array" aca="1" ref="B632" ca="1">IFERROR(SEARCH(INDIRECT(CELL("address")),A632),0)</f>
        <v>1</v>
      </c>
      <c r="C632" s="34">
        <f ca="1">IF(B632=0,"",COUNTIF($B$2:B632,"&gt;0"))</f>
        <v>631</v>
      </c>
      <c r="D632" s="34">
        <f t="shared" ca="1" si="9"/>
        <v>0</v>
      </c>
    </row>
    <row r="633" spans="1:4" x14ac:dyDescent="0.4">
      <c r="A633" s="79">
        <f>'Trial Balance Dump'!B637</f>
        <v>0</v>
      </c>
      <c r="B633" s="34" cm="1">
        <f t="array" aca="1" ref="B633" ca="1">IFERROR(SEARCH(INDIRECT(CELL("address")),A633),0)</f>
        <v>1</v>
      </c>
      <c r="C633" s="34">
        <f ca="1">IF(B633=0,"",COUNTIF($B$2:B633,"&gt;0"))</f>
        <v>632</v>
      </c>
      <c r="D633" s="34">
        <f t="shared" ca="1" si="9"/>
        <v>0</v>
      </c>
    </row>
    <row r="634" spans="1:4" x14ac:dyDescent="0.4">
      <c r="A634" s="79">
        <f>'Trial Balance Dump'!B638</f>
        <v>0</v>
      </c>
      <c r="B634" s="34" cm="1">
        <f t="array" aca="1" ref="B634" ca="1">IFERROR(SEARCH(INDIRECT(CELL("address")),A634),0)</f>
        <v>1</v>
      </c>
      <c r="C634" s="34">
        <f ca="1">IF(B634=0,"",COUNTIF($B$2:B634,"&gt;0"))</f>
        <v>633</v>
      </c>
      <c r="D634" s="34">
        <f t="shared" ca="1" si="9"/>
        <v>0</v>
      </c>
    </row>
    <row r="635" spans="1:4" x14ac:dyDescent="0.4">
      <c r="A635" s="79">
        <f>'Trial Balance Dump'!B639</f>
        <v>0</v>
      </c>
      <c r="B635" s="34" cm="1">
        <f t="array" aca="1" ref="B635" ca="1">IFERROR(SEARCH(INDIRECT(CELL("address")),A635),0)</f>
        <v>1</v>
      </c>
      <c r="C635" s="34">
        <f ca="1">IF(B635=0,"",COUNTIF($B$2:B635,"&gt;0"))</f>
        <v>634</v>
      </c>
      <c r="D635" s="34">
        <f t="shared" ca="1" si="9"/>
        <v>0</v>
      </c>
    </row>
    <row r="636" spans="1:4" x14ac:dyDescent="0.4">
      <c r="A636" s="79">
        <f>'Trial Balance Dump'!B640</f>
        <v>0</v>
      </c>
      <c r="B636" s="34" cm="1">
        <f t="array" aca="1" ref="B636" ca="1">IFERROR(SEARCH(INDIRECT(CELL("address")),A636),0)</f>
        <v>1</v>
      </c>
      <c r="C636" s="34">
        <f ca="1">IF(B636=0,"",COUNTIF($B$2:B636,"&gt;0"))</f>
        <v>635</v>
      </c>
      <c r="D636" s="34">
        <f t="shared" ca="1" si="9"/>
        <v>0</v>
      </c>
    </row>
    <row r="637" spans="1:4" x14ac:dyDescent="0.4">
      <c r="A637" s="79">
        <f>'Trial Balance Dump'!B641</f>
        <v>0</v>
      </c>
      <c r="B637" s="34" cm="1">
        <f t="array" aca="1" ref="B637" ca="1">IFERROR(SEARCH(INDIRECT(CELL("address")),A637),0)</f>
        <v>1</v>
      </c>
      <c r="C637" s="34">
        <f ca="1">IF(B637=0,"",COUNTIF($B$2:B637,"&gt;0"))</f>
        <v>636</v>
      </c>
      <c r="D637" s="34">
        <f t="shared" ca="1" si="9"/>
        <v>0</v>
      </c>
    </row>
    <row r="638" spans="1:4" x14ac:dyDescent="0.4">
      <c r="A638" s="79">
        <f>'Trial Balance Dump'!B642</f>
        <v>0</v>
      </c>
      <c r="B638" s="34" cm="1">
        <f t="array" aca="1" ref="B638" ca="1">IFERROR(SEARCH(INDIRECT(CELL("address")),A638),0)</f>
        <v>1</v>
      </c>
      <c r="C638" s="34">
        <f ca="1">IF(B638=0,"",COUNTIF($B$2:B638,"&gt;0"))</f>
        <v>637</v>
      </c>
      <c r="D638" s="34">
        <f t="shared" ca="1" si="9"/>
        <v>0</v>
      </c>
    </row>
    <row r="639" spans="1:4" x14ac:dyDescent="0.4">
      <c r="A639" s="79">
        <f>'Trial Balance Dump'!B643</f>
        <v>0</v>
      </c>
      <c r="B639" s="34" cm="1">
        <f t="array" aca="1" ref="B639" ca="1">IFERROR(SEARCH(INDIRECT(CELL("address")),A639),0)</f>
        <v>1</v>
      </c>
      <c r="C639" s="34">
        <f ca="1">IF(B639=0,"",COUNTIF($B$2:B639,"&gt;0"))</f>
        <v>638</v>
      </c>
      <c r="D639" s="34">
        <f t="shared" ca="1" si="9"/>
        <v>0</v>
      </c>
    </row>
    <row r="640" spans="1:4" x14ac:dyDescent="0.4">
      <c r="A640" s="79">
        <f>'Trial Balance Dump'!B644</f>
        <v>0</v>
      </c>
      <c r="B640" s="34" cm="1">
        <f t="array" aca="1" ref="B640" ca="1">IFERROR(SEARCH(INDIRECT(CELL("address")),A640),0)</f>
        <v>1</v>
      </c>
      <c r="C640" s="34">
        <f ca="1">IF(B640=0,"",COUNTIF($B$2:B640,"&gt;0"))</f>
        <v>639</v>
      </c>
      <c r="D640" s="34">
        <f t="shared" ca="1" si="9"/>
        <v>0</v>
      </c>
    </row>
    <row r="641" spans="1:4" x14ac:dyDescent="0.4">
      <c r="A641" s="79">
        <f>'Trial Balance Dump'!B645</f>
        <v>0</v>
      </c>
      <c r="B641" s="34" cm="1">
        <f t="array" aca="1" ref="B641" ca="1">IFERROR(SEARCH(INDIRECT(CELL("address")),A641),0)</f>
        <v>1</v>
      </c>
      <c r="C641" s="34">
        <f ca="1">IF(B641=0,"",COUNTIF($B$2:B641,"&gt;0"))</f>
        <v>640</v>
      </c>
      <c r="D641" s="34">
        <f t="shared" ca="1" si="9"/>
        <v>0</v>
      </c>
    </row>
    <row r="642" spans="1:4" x14ac:dyDescent="0.4">
      <c r="A642" s="79">
        <f>'Trial Balance Dump'!B646</f>
        <v>0</v>
      </c>
      <c r="B642" s="34" cm="1">
        <f t="array" aca="1" ref="B642" ca="1">IFERROR(SEARCH(INDIRECT(CELL("address")),A642),0)</f>
        <v>1</v>
      </c>
      <c r="C642" s="34">
        <f ca="1">IF(B642=0,"",COUNTIF($B$2:B642,"&gt;0"))</f>
        <v>641</v>
      </c>
      <c r="D642" s="34">
        <f t="shared" ca="1" si="9"/>
        <v>0</v>
      </c>
    </row>
    <row r="643" spans="1:4" x14ac:dyDescent="0.4">
      <c r="A643" s="79">
        <f>'Trial Balance Dump'!B647</f>
        <v>0</v>
      </c>
      <c r="B643" s="34" cm="1">
        <f t="array" aca="1" ref="B643" ca="1">IFERROR(SEARCH(INDIRECT(CELL("address")),A643),0)</f>
        <v>1</v>
      </c>
      <c r="C643" s="34">
        <f ca="1">IF(B643=0,"",COUNTIF($B$2:B643,"&gt;0"))</f>
        <v>642</v>
      </c>
      <c r="D643" s="34">
        <f t="shared" ref="D643:D706" ca="1" si="10">IFERROR(INDEX(A:A,MATCH(ROW(B642),C:C,0)),"")</f>
        <v>0</v>
      </c>
    </row>
    <row r="644" spans="1:4" x14ac:dyDescent="0.4">
      <c r="A644" s="79">
        <f>'Trial Balance Dump'!B648</f>
        <v>0</v>
      </c>
      <c r="B644" s="34" cm="1">
        <f t="array" aca="1" ref="B644" ca="1">IFERROR(SEARCH(INDIRECT(CELL("address")),A644),0)</f>
        <v>1</v>
      </c>
      <c r="C644" s="34">
        <f ca="1">IF(B644=0,"",COUNTIF($B$2:B644,"&gt;0"))</f>
        <v>643</v>
      </c>
      <c r="D644" s="34">
        <f t="shared" ca="1" si="10"/>
        <v>0</v>
      </c>
    </row>
    <row r="645" spans="1:4" x14ac:dyDescent="0.4">
      <c r="A645" s="79">
        <f>'Trial Balance Dump'!B649</f>
        <v>0</v>
      </c>
      <c r="B645" s="34" cm="1">
        <f t="array" aca="1" ref="B645" ca="1">IFERROR(SEARCH(INDIRECT(CELL("address")),A645),0)</f>
        <v>1</v>
      </c>
      <c r="C645" s="34">
        <f ca="1">IF(B645=0,"",COUNTIF($B$2:B645,"&gt;0"))</f>
        <v>644</v>
      </c>
      <c r="D645" s="34">
        <f t="shared" ca="1" si="10"/>
        <v>0</v>
      </c>
    </row>
    <row r="646" spans="1:4" x14ac:dyDescent="0.4">
      <c r="A646" s="79">
        <f>'Trial Balance Dump'!B650</f>
        <v>0</v>
      </c>
      <c r="B646" s="34" cm="1">
        <f t="array" aca="1" ref="B646" ca="1">IFERROR(SEARCH(INDIRECT(CELL("address")),A646),0)</f>
        <v>1</v>
      </c>
      <c r="C646" s="34">
        <f ca="1">IF(B646=0,"",COUNTIF($B$2:B646,"&gt;0"))</f>
        <v>645</v>
      </c>
      <c r="D646" s="34">
        <f t="shared" ca="1" si="10"/>
        <v>0</v>
      </c>
    </row>
    <row r="647" spans="1:4" x14ac:dyDescent="0.4">
      <c r="A647" s="79">
        <f>'Trial Balance Dump'!B651</f>
        <v>0</v>
      </c>
      <c r="B647" s="34" cm="1">
        <f t="array" aca="1" ref="B647" ca="1">IFERROR(SEARCH(INDIRECT(CELL("address")),A647),0)</f>
        <v>1</v>
      </c>
      <c r="C647" s="34">
        <f ca="1">IF(B647=0,"",COUNTIF($B$2:B647,"&gt;0"))</f>
        <v>646</v>
      </c>
      <c r="D647" s="34">
        <f t="shared" ca="1" si="10"/>
        <v>0</v>
      </c>
    </row>
    <row r="648" spans="1:4" x14ac:dyDescent="0.4">
      <c r="A648" s="79">
        <f>'Trial Balance Dump'!B652</f>
        <v>0</v>
      </c>
      <c r="B648" s="34" cm="1">
        <f t="array" aca="1" ref="B648" ca="1">IFERROR(SEARCH(INDIRECT(CELL("address")),A648),0)</f>
        <v>1</v>
      </c>
      <c r="C648" s="34">
        <f ca="1">IF(B648=0,"",COUNTIF($B$2:B648,"&gt;0"))</f>
        <v>647</v>
      </c>
      <c r="D648" s="34">
        <f t="shared" ca="1" si="10"/>
        <v>0</v>
      </c>
    </row>
    <row r="649" spans="1:4" x14ac:dyDescent="0.4">
      <c r="A649" s="79">
        <f>'Trial Balance Dump'!B653</f>
        <v>0</v>
      </c>
      <c r="B649" s="34" cm="1">
        <f t="array" aca="1" ref="B649" ca="1">IFERROR(SEARCH(INDIRECT(CELL("address")),A649),0)</f>
        <v>1</v>
      </c>
      <c r="C649" s="34">
        <f ca="1">IF(B649=0,"",COUNTIF($B$2:B649,"&gt;0"))</f>
        <v>648</v>
      </c>
      <c r="D649" s="34">
        <f t="shared" ca="1" si="10"/>
        <v>0</v>
      </c>
    </row>
    <row r="650" spans="1:4" x14ac:dyDescent="0.4">
      <c r="A650" s="79">
        <f>'Trial Balance Dump'!B654</f>
        <v>0</v>
      </c>
      <c r="B650" s="34" cm="1">
        <f t="array" aca="1" ref="B650" ca="1">IFERROR(SEARCH(INDIRECT(CELL("address")),A650),0)</f>
        <v>1</v>
      </c>
      <c r="C650" s="34">
        <f ca="1">IF(B650=0,"",COUNTIF($B$2:B650,"&gt;0"))</f>
        <v>649</v>
      </c>
      <c r="D650" s="34">
        <f t="shared" ca="1" si="10"/>
        <v>0</v>
      </c>
    </row>
    <row r="651" spans="1:4" x14ac:dyDescent="0.4">
      <c r="A651" s="79">
        <f>'Trial Balance Dump'!B655</f>
        <v>0</v>
      </c>
      <c r="B651" s="34" cm="1">
        <f t="array" aca="1" ref="B651" ca="1">IFERROR(SEARCH(INDIRECT(CELL("address")),A651),0)</f>
        <v>1</v>
      </c>
      <c r="C651" s="34">
        <f ca="1">IF(B651=0,"",COUNTIF($B$2:B651,"&gt;0"))</f>
        <v>650</v>
      </c>
      <c r="D651" s="34">
        <f t="shared" ca="1" si="10"/>
        <v>0</v>
      </c>
    </row>
    <row r="652" spans="1:4" x14ac:dyDescent="0.4">
      <c r="A652" s="79">
        <f>'Trial Balance Dump'!B656</f>
        <v>0</v>
      </c>
      <c r="B652" s="34" cm="1">
        <f t="array" aca="1" ref="B652" ca="1">IFERROR(SEARCH(INDIRECT(CELL("address")),A652),0)</f>
        <v>1</v>
      </c>
      <c r="C652" s="34">
        <f ca="1">IF(B652=0,"",COUNTIF($B$2:B652,"&gt;0"))</f>
        <v>651</v>
      </c>
      <c r="D652" s="34">
        <f t="shared" ca="1" si="10"/>
        <v>0</v>
      </c>
    </row>
    <row r="653" spans="1:4" x14ac:dyDescent="0.4">
      <c r="A653" s="79">
        <f>'Trial Balance Dump'!B657</f>
        <v>0</v>
      </c>
      <c r="B653" s="34" cm="1">
        <f t="array" aca="1" ref="B653" ca="1">IFERROR(SEARCH(INDIRECT(CELL("address")),A653),0)</f>
        <v>1</v>
      </c>
      <c r="C653" s="34">
        <f ca="1">IF(B653=0,"",COUNTIF($B$2:B653,"&gt;0"))</f>
        <v>652</v>
      </c>
      <c r="D653" s="34">
        <f t="shared" ca="1" si="10"/>
        <v>0</v>
      </c>
    </row>
    <row r="654" spans="1:4" x14ac:dyDescent="0.4">
      <c r="A654" s="79">
        <f>'Trial Balance Dump'!B658</f>
        <v>0</v>
      </c>
      <c r="B654" s="34" cm="1">
        <f t="array" aca="1" ref="B654" ca="1">IFERROR(SEARCH(INDIRECT(CELL("address")),A654),0)</f>
        <v>1</v>
      </c>
      <c r="C654" s="34">
        <f ca="1">IF(B654=0,"",COUNTIF($B$2:B654,"&gt;0"))</f>
        <v>653</v>
      </c>
      <c r="D654" s="34">
        <f t="shared" ca="1" si="10"/>
        <v>0</v>
      </c>
    </row>
    <row r="655" spans="1:4" x14ac:dyDescent="0.4">
      <c r="A655" s="79">
        <f>'Trial Balance Dump'!B659</f>
        <v>0</v>
      </c>
      <c r="B655" s="34" cm="1">
        <f t="array" aca="1" ref="B655" ca="1">IFERROR(SEARCH(INDIRECT(CELL("address")),A655),0)</f>
        <v>1</v>
      </c>
      <c r="C655" s="34">
        <f ca="1">IF(B655=0,"",COUNTIF($B$2:B655,"&gt;0"))</f>
        <v>654</v>
      </c>
      <c r="D655" s="34">
        <f t="shared" ca="1" si="10"/>
        <v>0</v>
      </c>
    </row>
    <row r="656" spans="1:4" x14ac:dyDescent="0.4">
      <c r="A656" s="79">
        <f>'Trial Balance Dump'!B660</f>
        <v>0</v>
      </c>
      <c r="B656" s="34" cm="1">
        <f t="array" aca="1" ref="B656" ca="1">IFERROR(SEARCH(INDIRECT(CELL("address")),A656),0)</f>
        <v>1</v>
      </c>
      <c r="C656" s="34">
        <f ca="1">IF(B656=0,"",COUNTIF($B$2:B656,"&gt;0"))</f>
        <v>655</v>
      </c>
      <c r="D656" s="34">
        <f t="shared" ca="1" si="10"/>
        <v>0</v>
      </c>
    </row>
    <row r="657" spans="1:4" x14ac:dyDescent="0.4">
      <c r="A657" s="79">
        <f>'Trial Balance Dump'!B661</f>
        <v>0</v>
      </c>
      <c r="B657" s="34" cm="1">
        <f t="array" aca="1" ref="B657" ca="1">IFERROR(SEARCH(INDIRECT(CELL("address")),A657),0)</f>
        <v>1</v>
      </c>
      <c r="C657" s="34">
        <f ca="1">IF(B657=0,"",COUNTIF($B$2:B657,"&gt;0"))</f>
        <v>656</v>
      </c>
      <c r="D657" s="34">
        <f t="shared" ca="1" si="10"/>
        <v>0</v>
      </c>
    </row>
    <row r="658" spans="1:4" x14ac:dyDescent="0.4">
      <c r="A658" s="79">
        <f>'Trial Balance Dump'!B662</f>
        <v>0</v>
      </c>
      <c r="B658" s="34" cm="1">
        <f t="array" aca="1" ref="B658" ca="1">IFERROR(SEARCH(INDIRECT(CELL("address")),A658),0)</f>
        <v>1</v>
      </c>
      <c r="C658" s="34">
        <f ca="1">IF(B658=0,"",COUNTIF($B$2:B658,"&gt;0"))</f>
        <v>657</v>
      </c>
      <c r="D658" s="34">
        <f t="shared" ca="1" si="10"/>
        <v>0</v>
      </c>
    </row>
    <row r="659" spans="1:4" x14ac:dyDescent="0.4">
      <c r="A659" s="79">
        <f>'Trial Balance Dump'!B663</f>
        <v>0</v>
      </c>
      <c r="B659" s="34" cm="1">
        <f t="array" aca="1" ref="B659" ca="1">IFERROR(SEARCH(INDIRECT(CELL("address")),A659),0)</f>
        <v>1</v>
      </c>
      <c r="C659" s="34">
        <f ca="1">IF(B659=0,"",COUNTIF($B$2:B659,"&gt;0"))</f>
        <v>658</v>
      </c>
      <c r="D659" s="34">
        <f t="shared" ca="1" si="10"/>
        <v>0</v>
      </c>
    </row>
    <row r="660" spans="1:4" x14ac:dyDescent="0.4">
      <c r="A660" s="79">
        <f>'Trial Balance Dump'!B664</f>
        <v>0</v>
      </c>
      <c r="B660" s="34" cm="1">
        <f t="array" aca="1" ref="B660" ca="1">IFERROR(SEARCH(INDIRECT(CELL("address")),A660),0)</f>
        <v>1</v>
      </c>
      <c r="C660" s="34">
        <f ca="1">IF(B660=0,"",COUNTIF($B$2:B660,"&gt;0"))</f>
        <v>659</v>
      </c>
      <c r="D660" s="34">
        <f t="shared" ca="1" si="10"/>
        <v>0</v>
      </c>
    </row>
    <row r="661" spans="1:4" x14ac:dyDescent="0.4">
      <c r="A661" s="79">
        <f>'Trial Balance Dump'!B665</f>
        <v>0</v>
      </c>
      <c r="B661" s="34" cm="1">
        <f t="array" aca="1" ref="B661" ca="1">IFERROR(SEARCH(INDIRECT(CELL("address")),A661),0)</f>
        <v>1</v>
      </c>
      <c r="C661" s="34">
        <f ca="1">IF(B661=0,"",COUNTIF($B$2:B661,"&gt;0"))</f>
        <v>660</v>
      </c>
      <c r="D661" s="34">
        <f t="shared" ca="1" si="10"/>
        <v>0</v>
      </c>
    </row>
    <row r="662" spans="1:4" x14ac:dyDescent="0.4">
      <c r="A662" s="79">
        <f>'Trial Balance Dump'!B666</f>
        <v>0</v>
      </c>
      <c r="B662" s="34" cm="1">
        <f t="array" aca="1" ref="B662" ca="1">IFERROR(SEARCH(INDIRECT(CELL("address")),A662),0)</f>
        <v>1</v>
      </c>
      <c r="C662" s="34">
        <f ca="1">IF(B662=0,"",COUNTIF($B$2:B662,"&gt;0"))</f>
        <v>661</v>
      </c>
      <c r="D662" s="34">
        <f t="shared" ca="1" si="10"/>
        <v>0</v>
      </c>
    </row>
    <row r="663" spans="1:4" x14ac:dyDescent="0.4">
      <c r="A663" s="79">
        <f>'Trial Balance Dump'!B667</f>
        <v>0</v>
      </c>
      <c r="B663" s="34" cm="1">
        <f t="array" aca="1" ref="B663" ca="1">IFERROR(SEARCH(INDIRECT(CELL("address")),A663),0)</f>
        <v>1</v>
      </c>
      <c r="C663" s="34">
        <f ca="1">IF(B663=0,"",COUNTIF($B$2:B663,"&gt;0"))</f>
        <v>662</v>
      </c>
      <c r="D663" s="34">
        <f t="shared" ca="1" si="10"/>
        <v>0</v>
      </c>
    </row>
    <row r="664" spans="1:4" x14ac:dyDescent="0.4">
      <c r="A664" s="79">
        <f>'Trial Balance Dump'!B668</f>
        <v>0</v>
      </c>
      <c r="B664" s="34" cm="1">
        <f t="array" aca="1" ref="B664" ca="1">IFERROR(SEARCH(INDIRECT(CELL("address")),A664),0)</f>
        <v>1</v>
      </c>
      <c r="C664" s="34">
        <f ca="1">IF(B664=0,"",COUNTIF($B$2:B664,"&gt;0"))</f>
        <v>663</v>
      </c>
      <c r="D664" s="34">
        <f t="shared" ca="1" si="10"/>
        <v>0</v>
      </c>
    </row>
    <row r="665" spans="1:4" x14ac:dyDescent="0.4">
      <c r="A665" s="79">
        <f>'Trial Balance Dump'!B669</f>
        <v>0</v>
      </c>
      <c r="B665" s="34" cm="1">
        <f t="array" aca="1" ref="B665" ca="1">IFERROR(SEARCH(INDIRECT(CELL("address")),A665),0)</f>
        <v>1</v>
      </c>
      <c r="C665" s="34">
        <f ca="1">IF(B665=0,"",COUNTIF($B$2:B665,"&gt;0"))</f>
        <v>664</v>
      </c>
      <c r="D665" s="34">
        <f t="shared" ca="1" si="10"/>
        <v>0</v>
      </c>
    </row>
    <row r="666" spans="1:4" x14ac:dyDescent="0.4">
      <c r="A666" s="79">
        <f>'Trial Balance Dump'!B670</f>
        <v>0</v>
      </c>
      <c r="B666" s="34" cm="1">
        <f t="array" aca="1" ref="B666" ca="1">IFERROR(SEARCH(INDIRECT(CELL("address")),A666),0)</f>
        <v>1</v>
      </c>
      <c r="C666" s="34">
        <f ca="1">IF(B666=0,"",COUNTIF($B$2:B666,"&gt;0"))</f>
        <v>665</v>
      </c>
      <c r="D666" s="34">
        <f t="shared" ca="1" si="10"/>
        <v>0</v>
      </c>
    </row>
    <row r="667" spans="1:4" x14ac:dyDescent="0.4">
      <c r="A667" s="79">
        <f>'Trial Balance Dump'!B671</f>
        <v>0</v>
      </c>
      <c r="B667" s="34" cm="1">
        <f t="array" aca="1" ref="B667" ca="1">IFERROR(SEARCH(INDIRECT(CELL("address")),A667),0)</f>
        <v>1</v>
      </c>
      <c r="C667" s="34">
        <f ca="1">IF(B667=0,"",COUNTIF($B$2:B667,"&gt;0"))</f>
        <v>666</v>
      </c>
      <c r="D667" s="34">
        <f t="shared" ca="1" si="10"/>
        <v>0</v>
      </c>
    </row>
    <row r="668" spans="1:4" x14ac:dyDescent="0.4">
      <c r="A668" s="79">
        <f>'Trial Balance Dump'!B672</f>
        <v>0</v>
      </c>
      <c r="B668" s="34" cm="1">
        <f t="array" aca="1" ref="B668" ca="1">IFERROR(SEARCH(INDIRECT(CELL("address")),A668),0)</f>
        <v>1</v>
      </c>
      <c r="C668" s="34">
        <f ca="1">IF(B668=0,"",COUNTIF($B$2:B668,"&gt;0"))</f>
        <v>667</v>
      </c>
      <c r="D668" s="34">
        <f t="shared" ca="1" si="10"/>
        <v>0</v>
      </c>
    </row>
    <row r="669" spans="1:4" x14ac:dyDescent="0.4">
      <c r="A669" s="79">
        <f>'Trial Balance Dump'!B673</f>
        <v>0</v>
      </c>
      <c r="B669" s="34" cm="1">
        <f t="array" aca="1" ref="B669" ca="1">IFERROR(SEARCH(INDIRECT(CELL("address")),A669),0)</f>
        <v>1</v>
      </c>
      <c r="C669" s="34">
        <f ca="1">IF(B669=0,"",COUNTIF($B$2:B669,"&gt;0"))</f>
        <v>668</v>
      </c>
      <c r="D669" s="34">
        <f t="shared" ca="1" si="10"/>
        <v>0</v>
      </c>
    </row>
    <row r="670" spans="1:4" x14ac:dyDescent="0.4">
      <c r="A670" s="79">
        <f>'Trial Balance Dump'!B674</f>
        <v>0</v>
      </c>
      <c r="B670" s="34" cm="1">
        <f t="array" aca="1" ref="B670" ca="1">IFERROR(SEARCH(INDIRECT(CELL("address")),A670),0)</f>
        <v>1</v>
      </c>
      <c r="C670" s="34">
        <f ca="1">IF(B670=0,"",COUNTIF($B$2:B670,"&gt;0"))</f>
        <v>669</v>
      </c>
      <c r="D670" s="34">
        <f t="shared" ca="1" si="10"/>
        <v>0</v>
      </c>
    </row>
    <row r="671" spans="1:4" x14ac:dyDescent="0.4">
      <c r="A671" s="79">
        <f>'Trial Balance Dump'!B675</f>
        <v>0</v>
      </c>
      <c r="B671" s="34" cm="1">
        <f t="array" aca="1" ref="B671" ca="1">IFERROR(SEARCH(INDIRECT(CELL("address")),A671),0)</f>
        <v>1</v>
      </c>
      <c r="C671" s="34">
        <f ca="1">IF(B671=0,"",COUNTIF($B$2:B671,"&gt;0"))</f>
        <v>670</v>
      </c>
      <c r="D671" s="34">
        <f t="shared" ca="1" si="10"/>
        <v>0</v>
      </c>
    </row>
    <row r="672" spans="1:4" x14ac:dyDescent="0.4">
      <c r="A672" s="79">
        <f>'Trial Balance Dump'!B676</f>
        <v>0</v>
      </c>
      <c r="B672" s="34" cm="1">
        <f t="array" aca="1" ref="B672" ca="1">IFERROR(SEARCH(INDIRECT(CELL("address")),A672),0)</f>
        <v>1</v>
      </c>
      <c r="C672" s="34">
        <f ca="1">IF(B672=0,"",COUNTIF($B$2:B672,"&gt;0"))</f>
        <v>671</v>
      </c>
      <c r="D672" s="34">
        <f t="shared" ca="1" si="10"/>
        <v>0</v>
      </c>
    </row>
    <row r="673" spans="1:4" x14ac:dyDescent="0.4">
      <c r="A673" s="79">
        <f>'Trial Balance Dump'!B677</f>
        <v>0</v>
      </c>
      <c r="B673" s="34" cm="1">
        <f t="array" aca="1" ref="B673" ca="1">IFERROR(SEARCH(INDIRECT(CELL("address")),A673),0)</f>
        <v>1</v>
      </c>
      <c r="C673" s="34">
        <f ca="1">IF(B673=0,"",COUNTIF($B$2:B673,"&gt;0"))</f>
        <v>672</v>
      </c>
      <c r="D673" s="34">
        <f t="shared" ca="1" si="10"/>
        <v>0</v>
      </c>
    </row>
    <row r="674" spans="1:4" x14ac:dyDescent="0.4">
      <c r="A674" s="79">
        <f>'Trial Balance Dump'!B678</f>
        <v>0</v>
      </c>
      <c r="B674" s="34" cm="1">
        <f t="array" aca="1" ref="B674" ca="1">IFERROR(SEARCH(INDIRECT(CELL("address")),A674),0)</f>
        <v>1</v>
      </c>
      <c r="C674" s="34">
        <f ca="1">IF(B674=0,"",COUNTIF($B$2:B674,"&gt;0"))</f>
        <v>673</v>
      </c>
      <c r="D674" s="34">
        <f t="shared" ca="1" si="10"/>
        <v>0</v>
      </c>
    </row>
    <row r="675" spans="1:4" x14ac:dyDescent="0.4">
      <c r="A675" s="79">
        <f>'Trial Balance Dump'!B679</f>
        <v>0</v>
      </c>
      <c r="B675" s="34" cm="1">
        <f t="array" aca="1" ref="B675" ca="1">IFERROR(SEARCH(INDIRECT(CELL("address")),A675),0)</f>
        <v>1</v>
      </c>
      <c r="C675" s="34">
        <f ca="1">IF(B675=0,"",COUNTIF($B$2:B675,"&gt;0"))</f>
        <v>674</v>
      </c>
      <c r="D675" s="34">
        <f t="shared" ca="1" si="10"/>
        <v>0</v>
      </c>
    </row>
    <row r="676" spans="1:4" x14ac:dyDescent="0.4">
      <c r="A676" s="79">
        <f>'Trial Balance Dump'!B680</f>
        <v>0</v>
      </c>
      <c r="B676" s="34" cm="1">
        <f t="array" aca="1" ref="B676" ca="1">IFERROR(SEARCH(INDIRECT(CELL("address")),A676),0)</f>
        <v>1</v>
      </c>
      <c r="C676" s="34">
        <f ca="1">IF(B676=0,"",COUNTIF($B$2:B676,"&gt;0"))</f>
        <v>675</v>
      </c>
      <c r="D676" s="34">
        <f t="shared" ca="1" si="10"/>
        <v>0</v>
      </c>
    </row>
    <row r="677" spans="1:4" x14ac:dyDescent="0.4">
      <c r="A677" s="79">
        <f>'Trial Balance Dump'!B681</f>
        <v>0</v>
      </c>
      <c r="B677" s="34" cm="1">
        <f t="array" aca="1" ref="B677" ca="1">IFERROR(SEARCH(INDIRECT(CELL("address")),A677),0)</f>
        <v>1</v>
      </c>
      <c r="C677" s="34">
        <f ca="1">IF(B677=0,"",COUNTIF($B$2:B677,"&gt;0"))</f>
        <v>676</v>
      </c>
      <c r="D677" s="34">
        <f t="shared" ca="1" si="10"/>
        <v>0</v>
      </c>
    </row>
    <row r="678" spans="1:4" x14ac:dyDescent="0.4">
      <c r="A678" s="79">
        <f>'Trial Balance Dump'!B682</f>
        <v>0</v>
      </c>
      <c r="B678" s="34" cm="1">
        <f t="array" aca="1" ref="B678" ca="1">IFERROR(SEARCH(INDIRECT(CELL("address")),A678),0)</f>
        <v>1</v>
      </c>
      <c r="C678" s="34">
        <f ca="1">IF(B678=0,"",COUNTIF($B$2:B678,"&gt;0"))</f>
        <v>677</v>
      </c>
      <c r="D678" s="34">
        <f t="shared" ca="1" si="10"/>
        <v>0</v>
      </c>
    </row>
    <row r="679" spans="1:4" x14ac:dyDescent="0.4">
      <c r="A679" s="79">
        <f>'Trial Balance Dump'!B683</f>
        <v>0</v>
      </c>
      <c r="B679" s="34" cm="1">
        <f t="array" aca="1" ref="B679" ca="1">IFERROR(SEARCH(INDIRECT(CELL("address")),A679),0)</f>
        <v>1</v>
      </c>
      <c r="C679" s="34">
        <f ca="1">IF(B679=0,"",COUNTIF($B$2:B679,"&gt;0"))</f>
        <v>678</v>
      </c>
      <c r="D679" s="34">
        <f t="shared" ca="1" si="10"/>
        <v>0</v>
      </c>
    </row>
    <row r="680" spans="1:4" x14ac:dyDescent="0.4">
      <c r="A680" s="79">
        <f>'Trial Balance Dump'!B684</f>
        <v>0</v>
      </c>
      <c r="B680" s="34" cm="1">
        <f t="array" aca="1" ref="B680" ca="1">IFERROR(SEARCH(INDIRECT(CELL("address")),A680),0)</f>
        <v>1</v>
      </c>
      <c r="C680" s="34">
        <f ca="1">IF(B680=0,"",COUNTIF($B$2:B680,"&gt;0"))</f>
        <v>679</v>
      </c>
      <c r="D680" s="34">
        <f t="shared" ca="1" si="10"/>
        <v>0</v>
      </c>
    </row>
    <row r="681" spans="1:4" x14ac:dyDescent="0.4">
      <c r="A681" s="79">
        <f>'Trial Balance Dump'!B685</f>
        <v>0</v>
      </c>
      <c r="B681" s="34" cm="1">
        <f t="array" aca="1" ref="B681" ca="1">IFERROR(SEARCH(INDIRECT(CELL("address")),A681),0)</f>
        <v>1</v>
      </c>
      <c r="C681" s="34">
        <f ca="1">IF(B681=0,"",COUNTIF($B$2:B681,"&gt;0"))</f>
        <v>680</v>
      </c>
      <c r="D681" s="34">
        <f t="shared" ca="1" si="10"/>
        <v>0</v>
      </c>
    </row>
    <row r="682" spans="1:4" x14ac:dyDescent="0.4">
      <c r="A682" s="79">
        <f>'Trial Balance Dump'!B686</f>
        <v>0</v>
      </c>
      <c r="B682" s="34" cm="1">
        <f t="array" aca="1" ref="B682" ca="1">IFERROR(SEARCH(INDIRECT(CELL("address")),A682),0)</f>
        <v>1</v>
      </c>
      <c r="C682" s="34">
        <f ca="1">IF(B682=0,"",COUNTIF($B$2:B682,"&gt;0"))</f>
        <v>681</v>
      </c>
      <c r="D682" s="34">
        <f t="shared" ca="1" si="10"/>
        <v>0</v>
      </c>
    </row>
    <row r="683" spans="1:4" x14ac:dyDescent="0.4">
      <c r="A683" s="79">
        <f>'Trial Balance Dump'!B687</f>
        <v>0</v>
      </c>
      <c r="B683" s="34" cm="1">
        <f t="array" aca="1" ref="B683" ca="1">IFERROR(SEARCH(INDIRECT(CELL("address")),A683),0)</f>
        <v>1</v>
      </c>
      <c r="C683" s="34">
        <f ca="1">IF(B683=0,"",COUNTIF($B$2:B683,"&gt;0"))</f>
        <v>682</v>
      </c>
      <c r="D683" s="34">
        <f t="shared" ca="1" si="10"/>
        <v>0</v>
      </c>
    </row>
    <row r="684" spans="1:4" x14ac:dyDescent="0.4">
      <c r="A684" s="79">
        <f>'Trial Balance Dump'!B688</f>
        <v>0</v>
      </c>
      <c r="B684" s="34" cm="1">
        <f t="array" aca="1" ref="B684" ca="1">IFERROR(SEARCH(INDIRECT(CELL("address")),A684),0)</f>
        <v>1</v>
      </c>
      <c r="C684" s="34">
        <f ca="1">IF(B684=0,"",COUNTIF($B$2:B684,"&gt;0"))</f>
        <v>683</v>
      </c>
      <c r="D684" s="34">
        <f t="shared" ca="1" si="10"/>
        <v>0</v>
      </c>
    </row>
    <row r="685" spans="1:4" x14ac:dyDescent="0.4">
      <c r="A685" s="79">
        <f>'Trial Balance Dump'!B689</f>
        <v>0</v>
      </c>
      <c r="B685" s="34" cm="1">
        <f t="array" aca="1" ref="B685" ca="1">IFERROR(SEARCH(INDIRECT(CELL("address")),A685),0)</f>
        <v>1</v>
      </c>
      <c r="C685" s="34">
        <f ca="1">IF(B685=0,"",COUNTIF($B$2:B685,"&gt;0"))</f>
        <v>684</v>
      </c>
      <c r="D685" s="34">
        <f t="shared" ca="1" si="10"/>
        <v>0</v>
      </c>
    </row>
    <row r="686" spans="1:4" x14ac:dyDescent="0.4">
      <c r="A686" s="79">
        <f>'Trial Balance Dump'!B690</f>
        <v>0</v>
      </c>
      <c r="B686" s="34" cm="1">
        <f t="array" aca="1" ref="B686" ca="1">IFERROR(SEARCH(INDIRECT(CELL("address")),A686),0)</f>
        <v>1</v>
      </c>
      <c r="C686" s="34">
        <f ca="1">IF(B686=0,"",COUNTIF($B$2:B686,"&gt;0"))</f>
        <v>685</v>
      </c>
      <c r="D686" s="34">
        <f t="shared" ca="1" si="10"/>
        <v>0</v>
      </c>
    </row>
    <row r="687" spans="1:4" x14ac:dyDescent="0.4">
      <c r="A687" s="79">
        <f>'Trial Balance Dump'!B691</f>
        <v>0</v>
      </c>
      <c r="B687" s="34" cm="1">
        <f t="array" aca="1" ref="B687" ca="1">IFERROR(SEARCH(INDIRECT(CELL("address")),A687),0)</f>
        <v>1</v>
      </c>
      <c r="C687" s="34">
        <f ca="1">IF(B687=0,"",COUNTIF($B$2:B687,"&gt;0"))</f>
        <v>686</v>
      </c>
      <c r="D687" s="34">
        <f t="shared" ca="1" si="10"/>
        <v>0</v>
      </c>
    </row>
    <row r="688" spans="1:4" x14ac:dyDescent="0.4">
      <c r="A688" s="79">
        <f>'Trial Balance Dump'!B692</f>
        <v>0</v>
      </c>
      <c r="B688" s="34" cm="1">
        <f t="array" aca="1" ref="B688" ca="1">IFERROR(SEARCH(INDIRECT(CELL("address")),A688),0)</f>
        <v>1</v>
      </c>
      <c r="C688" s="34">
        <f ca="1">IF(B688=0,"",COUNTIF($B$2:B688,"&gt;0"))</f>
        <v>687</v>
      </c>
      <c r="D688" s="34">
        <f t="shared" ca="1" si="10"/>
        <v>0</v>
      </c>
    </row>
    <row r="689" spans="1:4" x14ac:dyDescent="0.4">
      <c r="A689" s="79">
        <f>'Trial Balance Dump'!B693</f>
        <v>0</v>
      </c>
      <c r="B689" s="34" cm="1">
        <f t="array" aca="1" ref="B689" ca="1">IFERROR(SEARCH(INDIRECT(CELL("address")),A689),0)</f>
        <v>1</v>
      </c>
      <c r="C689" s="34">
        <f ca="1">IF(B689=0,"",COUNTIF($B$2:B689,"&gt;0"))</f>
        <v>688</v>
      </c>
      <c r="D689" s="34">
        <f t="shared" ca="1" si="10"/>
        <v>0</v>
      </c>
    </row>
    <row r="690" spans="1:4" x14ac:dyDescent="0.4">
      <c r="A690" s="79">
        <f>'Trial Balance Dump'!B694</f>
        <v>0</v>
      </c>
      <c r="B690" s="34" cm="1">
        <f t="array" aca="1" ref="B690" ca="1">IFERROR(SEARCH(INDIRECT(CELL("address")),A690),0)</f>
        <v>1</v>
      </c>
      <c r="C690" s="34">
        <f ca="1">IF(B690=0,"",COUNTIF($B$2:B690,"&gt;0"))</f>
        <v>689</v>
      </c>
      <c r="D690" s="34">
        <f t="shared" ca="1" si="10"/>
        <v>0</v>
      </c>
    </row>
    <row r="691" spans="1:4" x14ac:dyDescent="0.4">
      <c r="A691" s="79">
        <f>'Trial Balance Dump'!B695</f>
        <v>0</v>
      </c>
      <c r="B691" s="34" cm="1">
        <f t="array" aca="1" ref="B691" ca="1">IFERROR(SEARCH(INDIRECT(CELL("address")),A691),0)</f>
        <v>1</v>
      </c>
      <c r="C691" s="34">
        <f ca="1">IF(B691=0,"",COUNTIF($B$2:B691,"&gt;0"))</f>
        <v>690</v>
      </c>
      <c r="D691" s="34">
        <f t="shared" ca="1" si="10"/>
        <v>0</v>
      </c>
    </row>
    <row r="692" spans="1:4" x14ac:dyDescent="0.4">
      <c r="A692" s="79">
        <f>'Trial Balance Dump'!B696</f>
        <v>0</v>
      </c>
      <c r="B692" s="34" cm="1">
        <f t="array" aca="1" ref="B692" ca="1">IFERROR(SEARCH(INDIRECT(CELL("address")),A692),0)</f>
        <v>1</v>
      </c>
      <c r="C692" s="34">
        <f ca="1">IF(B692=0,"",COUNTIF($B$2:B692,"&gt;0"))</f>
        <v>691</v>
      </c>
      <c r="D692" s="34">
        <f t="shared" ca="1" si="10"/>
        <v>0</v>
      </c>
    </row>
    <row r="693" spans="1:4" x14ac:dyDescent="0.4">
      <c r="A693" s="79">
        <f>'Trial Balance Dump'!B697</f>
        <v>0</v>
      </c>
      <c r="B693" s="34" cm="1">
        <f t="array" aca="1" ref="B693" ca="1">IFERROR(SEARCH(INDIRECT(CELL("address")),A693),0)</f>
        <v>1</v>
      </c>
      <c r="C693" s="34">
        <f ca="1">IF(B693=0,"",COUNTIF($B$2:B693,"&gt;0"))</f>
        <v>692</v>
      </c>
      <c r="D693" s="34">
        <f t="shared" ca="1" si="10"/>
        <v>0</v>
      </c>
    </row>
    <row r="694" spans="1:4" x14ac:dyDescent="0.4">
      <c r="A694" s="79">
        <f>'Trial Balance Dump'!B698</f>
        <v>0</v>
      </c>
      <c r="B694" s="34" cm="1">
        <f t="array" aca="1" ref="B694" ca="1">IFERROR(SEARCH(INDIRECT(CELL("address")),A694),0)</f>
        <v>1</v>
      </c>
      <c r="C694" s="34">
        <f ca="1">IF(B694=0,"",COUNTIF($B$2:B694,"&gt;0"))</f>
        <v>693</v>
      </c>
      <c r="D694" s="34">
        <f t="shared" ca="1" si="10"/>
        <v>0</v>
      </c>
    </row>
    <row r="695" spans="1:4" x14ac:dyDescent="0.4">
      <c r="A695" s="79">
        <f>'Trial Balance Dump'!B699</f>
        <v>0</v>
      </c>
      <c r="B695" s="34" cm="1">
        <f t="array" aca="1" ref="B695" ca="1">IFERROR(SEARCH(INDIRECT(CELL("address")),A695),0)</f>
        <v>1</v>
      </c>
      <c r="C695" s="34">
        <f ca="1">IF(B695=0,"",COUNTIF($B$2:B695,"&gt;0"))</f>
        <v>694</v>
      </c>
      <c r="D695" s="34">
        <f t="shared" ca="1" si="10"/>
        <v>0</v>
      </c>
    </row>
    <row r="696" spans="1:4" x14ac:dyDescent="0.4">
      <c r="A696" s="79">
        <f>'Trial Balance Dump'!B700</f>
        <v>0</v>
      </c>
      <c r="B696" s="34" cm="1">
        <f t="array" aca="1" ref="B696" ca="1">IFERROR(SEARCH(INDIRECT(CELL("address")),A696),0)</f>
        <v>1</v>
      </c>
      <c r="C696" s="34">
        <f ca="1">IF(B696=0,"",COUNTIF($B$2:B696,"&gt;0"))</f>
        <v>695</v>
      </c>
      <c r="D696" s="34">
        <f t="shared" ca="1" si="10"/>
        <v>0</v>
      </c>
    </row>
    <row r="697" spans="1:4" x14ac:dyDescent="0.4">
      <c r="A697" s="79">
        <f>'Trial Balance Dump'!B701</f>
        <v>0</v>
      </c>
      <c r="B697" s="34" cm="1">
        <f t="array" aca="1" ref="B697" ca="1">IFERROR(SEARCH(INDIRECT(CELL("address")),A697),0)</f>
        <v>1</v>
      </c>
      <c r="C697" s="34">
        <f ca="1">IF(B697=0,"",COUNTIF($B$2:B697,"&gt;0"))</f>
        <v>696</v>
      </c>
      <c r="D697" s="34">
        <f t="shared" ca="1" si="10"/>
        <v>0</v>
      </c>
    </row>
    <row r="698" spans="1:4" x14ac:dyDescent="0.4">
      <c r="A698" s="79">
        <f>'Trial Balance Dump'!B702</f>
        <v>0</v>
      </c>
      <c r="B698" s="34" cm="1">
        <f t="array" aca="1" ref="B698" ca="1">IFERROR(SEARCH(INDIRECT(CELL("address")),A698),0)</f>
        <v>1</v>
      </c>
      <c r="C698" s="34">
        <f ca="1">IF(B698=0,"",COUNTIF($B$2:B698,"&gt;0"))</f>
        <v>697</v>
      </c>
      <c r="D698" s="34">
        <f t="shared" ca="1" si="10"/>
        <v>0</v>
      </c>
    </row>
    <row r="699" spans="1:4" x14ac:dyDescent="0.4">
      <c r="A699" s="79">
        <f>'Trial Balance Dump'!B703</f>
        <v>0</v>
      </c>
      <c r="B699" s="34" cm="1">
        <f t="array" aca="1" ref="B699" ca="1">IFERROR(SEARCH(INDIRECT(CELL("address")),A699),0)</f>
        <v>1</v>
      </c>
      <c r="C699" s="34">
        <f ca="1">IF(B699=0,"",COUNTIF($B$2:B699,"&gt;0"))</f>
        <v>698</v>
      </c>
      <c r="D699" s="34">
        <f t="shared" ca="1" si="10"/>
        <v>0</v>
      </c>
    </row>
    <row r="700" spans="1:4" x14ac:dyDescent="0.4">
      <c r="A700" s="79">
        <f>'Trial Balance Dump'!B704</f>
        <v>0</v>
      </c>
      <c r="B700" s="34" cm="1">
        <f t="array" aca="1" ref="B700" ca="1">IFERROR(SEARCH(INDIRECT(CELL("address")),A700),0)</f>
        <v>1</v>
      </c>
      <c r="C700" s="34">
        <f ca="1">IF(B700=0,"",COUNTIF($B$2:B700,"&gt;0"))</f>
        <v>699</v>
      </c>
      <c r="D700" s="34">
        <f t="shared" ca="1" si="10"/>
        <v>0</v>
      </c>
    </row>
    <row r="701" spans="1:4" x14ac:dyDescent="0.4">
      <c r="A701" s="79">
        <f>'Trial Balance Dump'!B705</f>
        <v>0</v>
      </c>
      <c r="B701" s="34" cm="1">
        <f t="array" aca="1" ref="B701" ca="1">IFERROR(SEARCH(INDIRECT(CELL("address")),A701),0)</f>
        <v>1</v>
      </c>
      <c r="C701" s="34">
        <f ca="1">IF(B701=0,"",COUNTIF($B$2:B701,"&gt;0"))</f>
        <v>700</v>
      </c>
      <c r="D701" s="34">
        <f t="shared" ca="1" si="10"/>
        <v>0</v>
      </c>
    </row>
    <row r="702" spans="1:4" x14ac:dyDescent="0.4">
      <c r="A702" s="79">
        <f>'Trial Balance Dump'!B706</f>
        <v>0</v>
      </c>
      <c r="B702" s="34" cm="1">
        <f t="array" aca="1" ref="B702" ca="1">IFERROR(SEARCH(INDIRECT(CELL("address")),A702),0)</f>
        <v>1</v>
      </c>
      <c r="C702" s="34">
        <f ca="1">IF(B702=0,"",COUNTIF($B$2:B702,"&gt;0"))</f>
        <v>701</v>
      </c>
      <c r="D702" s="34">
        <f t="shared" ca="1" si="10"/>
        <v>0</v>
      </c>
    </row>
    <row r="703" spans="1:4" x14ac:dyDescent="0.4">
      <c r="A703" s="79">
        <f>'Trial Balance Dump'!B707</f>
        <v>0</v>
      </c>
      <c r="B703" s="34" cm="1">
        <f t="array" aca="1" ref="B703" ca="1">IFERROR(SEARCH(INDIRECT(CELL("address")),A703),0)</f>
        <v>1</v>
      </c>
      <c r="C703" s="34">
        <f ca="1">IF(B703=0,"",COUNTIF($B$2:B703,"&gt;0"))</f>
        <v>702</v>
      </c>
      <c r="D703" s="34">
        <f t="shared" ca="1" si="10"/>
        <v>0</v>
      </c>
    </row>
    <row r="704" spans="1:4" x14ac:dyDescent="0.4">
      <c r="A704" s="79">
        <f>'Trial Balance Dump'!B708</f>
        <v>0</v>
      </c>
      <c r="B704" s="34" cm="1">
        <f t="array" aca="1" ref="B704" ca="1">IFERROR(SEARCH(INDIRECT(CELL("address")),A704),0)</f>
        <v>1</v>
      </c>
      <c r="C704" s="34">
        <f ca="1">IF(B704=0,"",COUNTIF($B$2:B704,"&gt;0"))</f>
        <v>703</v>
      </c>
      <c r="D704" s="34">
        <f t="shared" ca="1" si="10"/>
        <v>0</v>
      </c>
    </row>
    <row r="705" spans="1:4" x14ac:dyDescent="0.4">
      <c r="A705" s="79">
        <f>'Trial Balance Dump'!B709</f>
        <v>0</v>
      </c>
      <c r="B705" s="34" cm="1">
        <f t="array" aca="1" ref="B705" ca="1">IFERROR(SEARCH(INDIRECT(CELL("address")),A705),0)</f>
        <v>1</v>
      </c>
      <c r="C705" s="34">
        <f ca="1">IF(B705=0,"",COUNTIF($B$2:B705,"&gt;0"))</f>
        <v>704</v>
      </c>
      <c r="D705" s="34">
        <f t="shared" ca="1" si="10"/>
        <v>0</v>
      </c>
    </row>
    <row r="706" spans="1:4" x14ac:dyDescent="0.4">
      <c r="A706" s="79">
        <f>'Trial Balance Dump'!B710</f>
        <v>0</v>
      </c>
      <c r="B706" s="34" cm="1">
        <f t="array" aca="1" ref="B706" ca="1">IFERROR(SEARCH(INDIRECT(CELL("address")),A706),0)</f>
        <v>1</v>
      </c>
      <c r="C706" s="34">
        <f ca="1">IF(B706=0,"",COUNTIF($B$2:B706,"&gt;0"))</f>
        <v>705</v>
      </c>
      <c r="D706" s="34">
        <f t="shared" ca="1" si="10"/>
        <v>0</v>
      </c>
    </row>
    <row r="707" spans="1:4" x14ac:dyDescent="0.4">
      <c r="A707" s="79">
        <f>'Trial Balance Dump'!B711</f>
        <v>0</v>
      </c>
      <c r="B707" s="34" cm="1">
        <f t="array" aca="1" ref="B707" ca="1">IFERROR(SEARCH(INDIRECT(CELL("address")),A707),0)</f>
        <v>1</v>
      </c>
      <c r="C707" s="34">
        <f ca="1">IF(B707=0,"",COUNTIF($B$2:B707,"&gt;0"))</f>
        <v>706</v>
      </c>
      <c r="D707" s="34">
        <f t="shared" ref="D707:D770" ca="1" si="11">IFERROR(INDEX(A:A,MATCH(ROW(B706),C:C,0)),"")</f>
        <v>0</v>
      </c>
    </row>
    <row r="708" spans="1:4" x14ac:dyDescent="0.4">
      <c r="A708" s="79">
        <f>'Trial Balance Dump'!B712</f>
        <v>0</v>
      </c>
      <c r="B708" s="34" cm="1">
        <f t="array" aca="1" ref="B708" ca="1">IFERROR(SEARCH(INDIRECT(CELL("address")),A708),0)</f>
        <v>1</v>
      </c>
      <c r="C708" s="34">
        <f ca="1">IF(B708=0,"",COUNTIF($B$2:B708,"&gt;0"))</f>
        <v>707</v>
      </c>
      <c r="D708" s="34">
        <f t="shared" ca="1" si="11"/>
        <v>0</v>
      </c>
    </row>
    <row r="709" spans="1:4" x14ac:dyDescent="0.4">
      <c r="A709" s="79">
        <f>'Trial Balance Dump'!B713</f>
        <v>0</v>
      </c>
      <c r="B709" s="34" cm="1">
        <f t="array" aca="1" ref="B709" ca="1">IFERROR(SEARCH(INDIRECT(CELL("address")),A709),0)</f>
        <v>1</v>
      </c>
      <c r="C709" s="34">
        <f ca="1">IF(B709=0,"",COUNTIF($B$2:B709,"&gt;0"))</f>
        <v>708</v>
      </c>
      <c r="D709" s="34">
        <f t="shared" ca="1" si="11"/>
        <v>0</v>
      </c>
    </row>
    <row r="710" spans="1:4" x14ac:dyDescent="0.4">
      <c r="A710" s="79">
        <f>'Trial Balance Dump'!B714</f>
        <v>0</v>
      </c>
      <c r="B710" s="34" cm="1">
        <f t="array" aca="1" ref="B710" ca="1">IFERROR(SEARCH(INDIRECT(CELL("address")),A710),0)</f>
        <v>1</v>
      </c>
      <c r="C710" s="34">
        <f ca="1">IF(B710=0,"",COUNTIF($B$2:B710,"&gt;0"))</f>
        <v>709</v>
      </c>
      <c r="D710" s="34">
        <f t="shared" ca="1" si="11"/>
        <v>0</v>
      </c>
    </row>
    <row r="711" spans="1:4" x14ac:dyDescent="0.4">
      <c r="A711" s="79">
        <f>'Trial Balance Dump'!B715</f>
        <v>0</v>
      </c>
      <c r="B711" s="34" cm="1">
        <f t="array" aca="1" ref="B711" ca="1">IFERROR(SEARCH(INDIRECT(CELL("address")),A711),0)</f>
        <v>1</v>
      </c>
      <c r="C711" s="34">
        <f ca="1">IF(B711=0,"",COUNTIF($B$2:B711,"&gt;0"))</f>
        <v>710</v>
      </c>
      <c r="D711" s="34">
        <f t="shared" ca="1" si="11"/>
        <v>0</v>
      </c>
    </row>
    <row r="712" spans="1:4" x14ac:dyDescent="0.4">
      <c r="A712" s="79">
        <f>'Trial Balance Dump'!B716</f>
        <v>0</v>
      </c>
      <c r="B712" s="34" cm="1">
        <f t="array" aca="1" ref="B712" ca="1">IFERROR(SEARCH(INDIRECT(CELL("address")),A712),0)</f>
        <v>1</v>
      </c>
      <c r="C712" s="34">
        <f ca="1">IF(B712=0,"",COUNTIF($B$2:B712,"&gt;0"))</f>
        <v>711</v>
      </c>
      <c r="D712" s="34">
        <f t="shared" ca="1" si="11"/>
        <v>0</v>
      </c>
    </row>
    <row r="713" spans="1:4" x14ac:dyDescent="0.4">
      <c r="A713" s="79">
        <f>'Trial Balance Dump'!B717</f>
        <v>0</v>
      </c>
      <c r="B713" s="34" cm="1">
        <f t="array" aca="1" ref="B713" ca="1">IFERROR(SEARCH(INDIRECT(CELL("address")),A713),0)</f>
        <v>1</v>
      </c>
      <c r="C713" s="34">
        <f ca="1">IF(B713=0,"",COUNTIF($B$2:B713,"&gt;0"))</f>
        <v>712</v>
      </c>
      <c r="D713" s="34">
        <f t="shared" ca="1" si="11"/>
        <v>0</v>
      </c>
    </row>
    <row r="714" spans="1:4" x14ac:dyDescent="0.4">
      <c r="A714" s="79">
        <f>'Trial Balance Dump'!B718</f>
        <v>0</v>
      </c>
      <c r="B714" s="34" cm="1">
        <f t="array" aca="1" ref="B714" ca="1">IFERROR(SEARCH(INDIRECT(CELL("address")),A714),0)</f>
        <v>1</v>
      </c>
      <c r="C714" s="34">
        <f ca="1">IF(B714=0,"",COUNTIF($B$2:B714,"&gt;0"))</f>
        <v>713</v>
      </c>
      <c r="D714" s="34">
        <f t="shared" ca="1" si="11"/>
        <v>0</v>
      </c>
    </row>
    <row r="715" spans="1:4" x14ac:dyDescent="0.4">
      <c r="A715" s="79">
        <f>'Trial Balance Dump'!B719</f>
        <v>0</v>
      </c>
      <c r="B715" s="34" cm="1">
        <f t="array" aca="1" ref="B715" ca="1">IFERROR(SEARCH(INDIRECT(CELL("address")),A715),0)</f>
        <v>1</v>
      </c>
      <c r="C715" s="34">
        <f ca="1">IF(B715=0,"",COUNTIF($B$2:B715,"&gt;0"))</f>
        <v>714</v>
      </c>
      <c r="D715" s="34">
        <f t="shared" ca="1" si="11"/>
        <v>0</v>
      </c>
    </row>
    <row r="716" spans="1:4" x14ac:dyDescent="0.4">
      <c r="A716" s="79">
        <f>'Trial Balance Dump'!B720</f>
        <v>0</v>
      </c>
      <c r="B716" s="34" cm="1">
        <f t="array" aca="1" ref="B716" ca="1">IFERROR(SEARCH(INDIRECT(CELL("address")),A716),0)</f>
        <v>1</v>
      </c>
      <c r="C716" s="34">
        <f ca="1">IF(B716=0,"",COUNTIF($B$2:B716,"&gt;0"))</f>
        <v>715</v>
      </c>
      <c r="D716" s="34">
        <f t="shared" ca="1" si="11"/>
        <v>0</v>
      </c>
    </row>
    <row r="717" spans="1:4" x14ac:dyDescent="0.4">
      <c r="A717" s="79">
        <f>'Trial Balance Dump'!B721</f>
        <v>0</v>
      </c>
      <c r="B717" s="34" cm="1">
        <f t="array" aca="1" ref="B717" ca="1">IFERROR(SEARCH(INDIRECT(CELL("address")),A717),0)</f>
        <v>1</v>
      </c>
      <c r="C717" s="34">
        <f ca="1">IF(B717=0,"",COUNTIF($B$2:B717,"&gt;0"))</f>
        <v>716</v>
      </c>
      <c r="D717" s="34">
        <f t="shared" ca="1" si="11"/>
        <v>0</v>
      </c>
    </row>
    <row r="718" spans="1:4" x14ac:dyDescent="0.4">
      <c r="A718" s="79">
        <f>'Trial Balance Dump'!B722</f>
        <v>0</v>
      </c>
      <c r="B718" s="34" cm="1">
        <f t="array" aca="1" ref="B718" ca="1">IFERROR(SEARCH(INDIRECT(CELL("address")),A718),0)</f>
        <v>1</v>
      </c>
      <c r="C718" s="34">
        <f ca="1">IF(B718=0,"",COUNTIF($B$2:B718,"&gt;0"))</f>
        <v>717</v>
      </c>
      <c r="D718" s="34">
        <f t="shared" ca="1" si="11"/>
        <v>0</v>
      </c>
    </row>
    <row r="719" spans="1:4" x14ac:dyDescent="0.4">
      <c r="A719" s="79">
        <f>'Trial Balance Dump'!B723</f>
        <v>0</v>
      </c>
      <c r="B719" s="34" cm="1">
        <f t="array" aca="1" ref="B719" ca="1">IFERROR(SEARCH(INDIRECT(CELL("address")),A719),0)</f>
        <v>1</v>
      </c>
      <c r="C719" s="34">
        <f ca="1">IF(B719=0,"",COUNTIF($B$2:B719,"&gt;0"))</f>
        <v>718</v>
      </c>
      <c r="D719" s="34">
        <f t="shared" ca="1" si="11"/>
        <v>0</v>
      </c>
    </row>
    <row r="720" spans="1:4" x14ac:dyDescent="0.4">
      <c r="A720" s="79">
        <f>'Trial Balance Dump'!B724</f>
        <v>0</v>
      </c>
      <c r="B720" s="34" cm="1">
        <f t="array" aca="1" ref="B720" ca="1">IFERROR(SEARCH(INDIRECT(CELL("address")),A720),0)</f>
        <v>1</v>
      </c>
      <c r="C720" s="34">
        <f ca="1">IF(B720=0,"",COUNTIF($B$2:B720,"&gt;0"))</f>
        <v>719</v>
      </c>
      <c r="D720" s="34">
        <f t="shared" ca="1" si="11"/>
        <v>0</v>
      </c>
    </row>
    <row r="721" spans="1:4" x14ac:dyDescent="0.4">
      <c r="A721" s="79">
        <f>'Trial Balance Dump'!B725</f>
        <v>0</v>
      </c>
      <c r="B721" s="34" cm="1">
        <f t="array" aca="1" ref="B721" ca="1">IFERROR(SEARCH(INDIRECT(CELL("address")),A721),0)</f>
        <v>1</v>
      </c>
      <c r="C721" s="34">
        <f ca="1">IF(B721=0,"",COUNTIF($B$2:B721,"&gt;0"))</f>
        <v>720</v>
      </c>
      <c r="D721" s="34">
        <f t="shared" ca="1" si="11"/>
        <v>0</v>
      </c>
    </row>
    <row r="722" spans="1:4" x14ac:dyDescent="0.4">
      <c r="A722" s="79">
        <f>'Trial Balance Dump'!B726</f>
        <v>0</v>
      </c>
      <c r="B722" s="34" cm="1">
        <f t="array" aca="1" ref="B722" ca="1">IFERROR(SEARCH(INDIRECT(CELL("address")),A722),0)</f>
        <v>1</v>
      </c>
      <c r="C722" s="34">
        <f ca="1">IF(B722=0,"",COUNTIF($B$2:B722,"&gt;0"))</f>
        <v>721</v>
      </c>
      <c r="D722" s="34">
        <f t="shared" ca="1" si="11"/>
        <v>0</v>
      </c>
    </row>
    <row r="723" spans="1:4" x14ac:dyDescent="0.4">
      <c r="A723" s="79">
        <f>'Trial Balance Dump'!B727</f>
        <v>0</v>
      </c>
      <c r="B723" s="34" cm="1">
        <f t="array" aca="1" ref="B723" ca="1">IFERROR(SEARCH(INDIRECT(CELL("address")),A723),0)</f>
        <v>1</v>
      </c>
      <c r="C723" s="34">
        <f ca="1">IF(B723=0,"",COUNTIF($B$2:B723,"&gt;0"))</f>
        <v>722</v>
      </c>
      <c r="D723" s="34">
        <f t="shared" ca="1" si="11"/>
        <v>0</v>
      </c>
    </row>
    <row r="724" spans="1:4" x14ac:dyDescent="0.4">
      <c r="A724" s="79">
        <f>'Trial Balance Dump'!B728</f>
        <v>0</v>
      </c>
      <c r="B724" s="34" cm="1">
        <f t="array" aca="1" ref="B724" ca="1">IFERROR(SEARCH(INDIRECT(CELL("address")),A724),0)</f>
        <v>1</v>
      </c>
      <c r="C724" s="34">
        <f ca="1">IF(B724=0,"",COUNTIF($B$2:B724,"&gt;0"))</f>
        <v>723</v>
      </c>
      <c r="D724" s="34">
        <f t="shared" ca="1" si="11"/>
        <v>0</v>
      </c>
    </row>
    <row r="725" spans="1:4" x14ac:dyDescent="0.4">
      <c r="A725" s="79">
        <f>'Trial Balance Dump'!B729</f>
        <v>0</v>
      </c>
      <c r="B725" s="34" cm="1">
        <f t="array" aca="1" ref="B725" ca="1">IFERROR(SEARCH(INDIRECT(CELL("address")),A725),0)</f>
        <v>1</v>
      </c>
      <c r="C725" s="34">
        <f ca="1">IF(B725=0,"",COUNTIF($B$2:B725,"&gt;0"))</f>
        <v>724</v>
      </c>
      <c r="D725" s="34">
        <f t="shared" ca="1" si="11"/>
        <v>0</v>
      </c>
    </row>
    <row r="726" spans="1:4" x14ac:dyDescent="0.4">
      <c r="A726" s="79">
        <f>'Trial Balance Dump'!B730</f>
        <v>0</v>
      </c>
      <c r="B726" s="34" cm="1">
        <f t="array" aca="1" ref="B726" ca="1">IFERROR(SEARCH(INDIRECT(CELL("address")),A726),0)</f>
        <v>1</v>
      </c>
      <c r="C726" s="34">
        <f ca="1">IF(B726=0,"",COUNTIF($B$2:B726,"&gt;0"))</f>
        <v>725</v>
      </c>
      <c r="D726" s="34">
        <f t="shared" ca="1" si="11"/>
        <v>0</v>
      </c>
    </row>
    <row r="727" spans="1:4" x14ac:dyDescent="0.4">
      <c r="A727" s="79">
        <f>'Trial Balance Dump'!B731</f>
        <v>0</v>
      </c>
      <c r="B727" s="34" cm="1">
        <f t="array" aca="1" ref="B727" ca="1">IFERROR(SEARCH(INDIRECT(CELL("address")),A727),0)</f>
        <v>1</v>
      </c>
      <c r="C727" s="34">
        <f ca="1">IF(B727=0,"",COUNTIF($B$2:B727,"&gt;0"))</f>
        <v>726</v>
      </c>
      <c r="D727" s="34">
        <f t="shared" ca="1" si="11"/>
        <v>0</v>
      </c>
    </row>
    <row r="728" spans="1:4" x14ac:dyDescent="0.4">
      <c r="A728" s="79">
        <f>'Trial Balance Dump'!B732</f>
        <v>0</v>
      </c>
      <c r="B728" s="34" cm="1">
        <f t="array" aca="1" ref="B728" ca="1">IFERROR(SEARCH(INDIRECT(CELL("address")),A728),0)</f>
        <v>1</v>
      </c>
      <c r="C728" s="34">
        <f ca="1">IF(B728=0,"",COUNTIF($B$2:B728,"&gt;0"))</f>
        <v>727</v>
      </c>
      <c r="D728" s="34">
        <f t="shared" ca="1" si="11"/>
        <v>0</v>
      </c>
    </row>
    <row r="729" spans="1:4" x14ac:dyDescent="0.4">
      <c r="A729" s="79">
        <f>'Trial Balance Dump'!B733</f>
        <v>0</v>
      </c>
      <c r="B729" s="34" cm="1">
        <f t="array" aca="1" ref="B729" ca="1">IFERROR(SEARCH(INDIRECT(CELL("address")),A729),0)</f>
        <v>1</v>
      </c>
      <c r="C729" s="34">
        <f ca="1">IF(B729=0,"",COUNTIF($B$2:B729,"&gt;0"))</f>
        <v>728</v>
      </c>
      <c r="D729" s="34">
        <f t="shared" ca="1" si="11"/>
        <v>0</v>
      </c>
    </row>
    <row r="730" spans="1:4" x14ac:dyDescent="0.4">
      <c r="A730" s="79">
        <f>'Trial Balance Dump'!B734</f>
        <v>0</v>
      </c>
      <c r="B730" s="34" cm="1">
        <f t="array" aca="1" ref="B730" ca="1">IFERROR(SEARCH(INDIRECT(CELL("address")),A730),0)</f>
        <v>1</v>
      </c>
      <c r="C730" s="34">
        <f ca="1">IF(B730=0,"",COUNTIF($B$2:B730,"&gt;0"))</f>
        <v>729</v>
      </c>
      <c r="D730" s="34">
        <f t="shared" ca="1" si="11"/>
        <v>0</v>
      </c>
    </row>
    <row r="731" spans="1:4" x14ac:dyDescent="0.4">
      <c r="A731" s="79">
        <f>'Trial Balance Dump'!B735</f>
        <v>0</v>
      </c>
      <c r="B731" s="34" cm="1">
        <f t="array" aca="1" ref="B731" ca="1">IFERROR(SEARCH(INDIRECT(CELL("address")),A731),0)</f>
        <v>1</v>
      </c>
      <c r="C731" s="34">
        <f ca="1">IF(B731=0,"",COUNTIF($B$2:B731,"&gt;0"))</f>
        <v>730</v>
      </c>
      <c r="D731" s="34">
        <f t="shared" ca="1" si="11"/>
        <v>0</v>
      </c>
    </row>
    <row r="732" spans="1:4" x14ac:dyDescent="0.4">
      <c r="A732" s="79">
        <f>'Trial Balance Dump'!B736</f>
        <v>0</v>
      </c>
      <c r="B732" s="34" cm="1">
        <f t="array" aca="1" ref="B732" ca="1">IFERROR(SEARCH(INDIRECT(CELL("address")),A732),0)</f>
        <v>1</v>
      </c>
      <c r="C732" s="34">
        <f ca="1">IF(B732=0,"",COUNTIF($B$2:B732,"&gt;0"))</f>
        <v>731</v>
      </c>
      <c r="D732" s="34">
        <f t="shared" ca="1" si="11"/>
        <v>0</v>
      </c>
    </row>
    <row r="733" spans="1:4" x14ac:dyDescent="0.4">
      <c r="A733" s="79">
        <f>'Trial Balance Dump'!B737</f>
        <v>0</v>
      </c>
      <c r="B733" s="34" cm="1">
        <f t="array" aca="1" ref="B733" ca="1">IFERROR(SEARCH(INDIRECT(CELL("address")),A733),0)</f>
        <v>1</v>
      </c>
      <c r="C733" s="34">
        <f ca="1">IF(B733=0,"",COUNTIF($B$2:B733,"&gt;0"))</f>
        <v>732</v>
      </c>
      <c r="D733" s="34">
        <f t="shared" ca="1" si="11"/>
        <v>0</v>
      </c>
    </row>
    <row r="734" spans="1:4" x14ac:dyDescent="0.4">
      <c r="A734" s="79">
        <f>'Trial Balance Dump'!B738</f>
        <v>0</v>
      </c>
      <c r="B734" s="34" cm="1">
        <f t="array" aca="1" ref="B734" ca="1">IFERROR(SEARCH(INDIRECT(CELL("address")),A734),0)</f>
        <v>1</v>
      </c>
      <c r="C734" s="34">
        <f ca="1">IF(B734=0,"",COUNTIF($B$2:B734,"&gt;0"))</f>
        <v>733</v>
      </c>
      <c r="D734" s="34">
        <f t="shared" ca="1" si="11"/>
        <v>0</v>
      </c>
    </row>
    <row r="735" spans="1:4" x14ac:dyDescent="0.4">
      <c r="A735" s="79">
        <f>'Trial Balance Dump'!B739</f>
        <v>0</v>
      </c>
      <c r="B735" s="34" cm="1">
        <f t="array" aca="1" ref="B735" ca="1">IFERROR(SEARCH(INDIRECT(CELL("address")),A735),0)</f>
        <v>1</v>
      </c>
      <c r="C735" s="34">
        <f ca="1">IF(B735=0,"",COUNTIF($B$2:B735,"&gt;0"))</f>
        <v>734</v>
      </c>
      <c r="D735" s="34">
        <f t="shared" ca="1" si="11"/>
        <v>0</v>
      </c>
    </row>
    <row r="736" spans="1:4" x14ac:dyDescent="0.4">
      <c r="A736" s="79">
        <f>'Trial Balance Dump'!B740</f>
        <v>0</v>
      </c>
      <c r="B736" s="34" cm="1">
        <f t="array" aca="1" ref="B736" ca="1">IFERROR(SEARCH(INDIRECT(CELL("address")),A736),0)</f>
        <v>1</v>
      </c>
      <c r="C736" s="34">
        <f ca="1">IF(B736=0,"",COUNTIF($B$2:B736,"&gt;0"))</f>
        <v>735</v>
      </c>
      <c r="D736" s="34">
        <f t="shared" ca="1" si="11"/>
        <v>0</v>
      </c>
    </row>
    <row r="737" spans="1:4" x14ac:dyDescent="0.4">
      <c r="A737" s="79">
        <f>'Trial Balance Dump'!B741</f>
        <v>0</v>
      </c>
      <c r="B737" s="34" cm="1">
        <f t="array" aca="1" ref="B737" ca="1">IFERROR(SEARCH(INDIRECT(CELL("address")),A737),0)</f>
        <v>1</v>
      </c>
      <c r="C737" s="34">
        <f ca="1">IF(B737=0,"",COUNTIF($B$2:B737,"&gt;0"))</f>
        <v>736</v>
      </c>
      <c r="D737" s="34">
        <f t="shared" ca="1" si="11"/>
        <v>0</v>
      </c>
    </row>
    <row r="738" spans="1:4" x14ac:dyDescent="0.4">
      <c r="A738" s="79">
        <f>'Trial Balance Dump'!B742</f>
        <v>0</v>
      </c>
      <c r="B738" s="34" cm="1">
        <f t="array" aca="1" ref="B738" ca="1">IFERROR(SEARCH(INDIRECT(CELL("address")),A738),0)</f>
        <v>1</v>
      </c>
      <c r="C738" s="34">
        <f ca="1">IF(B738=0,"",COUNTIF($B$2:B738,"&gt;0"))</f>
        <v>737</v>
      </c>
      <c r="D738" s="34">
        <f t="shared" ca="1" si="11"/>
        <v>0</v>
      </c>
    </row>
    <row r="739" spans="1:4" x14ac:dyDescent="0.4">
      <c r="A739" s="79">
        <f>'Trial Balance Dump'!B743</f>
        <v>0</v>
      </c>
      <c r="B739" s="34" cm="1">
        <f t="array" aca="1" ref="B739" ca="1">IFERROR(SEARCH(INDIRECT(CELL("address")),A739),0)</f>
        <v>1</v>
      </c>
      <c r="C739" s="34">
        <f ca="1">IF(B739=0,"",COUNTIF($B$2:B739,"&gt;0"))</f>
        <v>738</v>
      </c>
      <c r="D739" s="34">
        <f t="shared" ca="1" si="11"/>
        <v>0</v>
      </c>
    </row>
    <row r="740" spans="1:4" x14ac:dyDescent="0.4">
      <c r="A740" s="79">
        <f>'Trial Balance Dump'!B744</f>
        <v>0</v>
      </c>
      <c r="B740" s="34" cm="1">
        <f t="array" aca="1" ref="B740" ca="1">IFERROR(SEARCH(INDIRECT(CELL("address")),A740),0)</f>
        <v>1</v>
      </c>
      <c r="C740" s="34">
        <f ca="1">IF(B740=0,"",COUNTIF($B$2:B740,"&gt;0"))</f>
        <v>739</v>
      </c>
      <c r="D740" s="34">
        <f t="shared" ca="1" si="11"/>
        <v>0</v>
      </c>
    </row>
    <row r="741" spans="1:4" x14ac:dyDescent="0.4">
      <c r="A741" s="79">
        <f>'Trial Balance Dump'!B745</f>
        <v>0</v>
      </c>
      <c r="B741" s="34" cm="1">
        <f t="array" aca="1" ref="B741" ca="1">IFERROR(SEARCH(INDIRECT(CELL("address")),A741),0)</f>
        <v>1</v>
      </c>
      <c r="C741" s="34">
        <f ca="1">IF(B741=0,"",COUNTIF($B$2:B741,"&gt;0"))</f>
        <v>740</v>
      </c>
      <c r="D741" s="34">
        <f t="shared" ca="1" si="11"/>
        <v>0</v>
      </c>
    </row>
    <row r="742" spans="1:4" x14ac:dyDescent="0.4">
      <c r="A742" s="79">
        <f>'Trial Balance Dump'!B746</f>
        <v>0</v>
      </c>
      <c r="B742" s="34" cm="1">
        <f t="array" aca="1" ref="B742" ca="1">IFERROR(SEARCH(INDIRECT(CELL("address")),A742),0)</f>
        <v>1</v>
      </c>
      <c r="C742" s="34">
        <f ca="1">IF(B742=0,"",COUNTIF($B$2:B742,"&gt;0"))</f>
        <v>741</v>
      </c>
      <c r="D742" s="34">
        <f t="shared" ca="1" si="11"/>
        <v>0</v>
      </c>
    </row>
    <row r="743" spans="1:4" x14ac:dyDescent="0.4">
      <c r="A743" s="79">
        <f>'Trial Balance Dump'!B747</f>
        <v>0</v>
      </c>
      <c r="B743" s="34" cm="1">
        <f t="array" aca="1" ref="B743" ca="1">IFERROR(SEARCH(INDIRECT(CELL("address")),A743),0)</f>
        <v>1</v>
      </c>
      <c r="C743" s="34">
        <f ca="1">IF(B743=0,"",COUNTIF($B$2:B743,"&gt;0"))</f>
        <v>742</v>
      </c>
      <c r="D743" s="34">
        <f t="shared" ca="1" si="11"/>
        <v>0</v>
      </c>
    </row>
    <row r="744" spans="1:4" x14ac:dyDescent="0.4">
      <c r="A744" s="79">
        <f>'Trial Balance Dump'!B748</f>
        <v>0</v>
      </c>
      <c r="B744" s="34" cm="1">
        <f t="array" aca="1" ref="B744" ca="1">IFERROR(SEARCH(INDIRECT(CELL("address")),A744),0)</f>
        <v>1</v>
      </c>
      <c r="C744" s="34">
        <f ca="1">IF(B744=0,"",COUNTIF($B$2:B744,"&gt;0"))</f>
        <v>743</v>
      </c>
      <c r="D744" s="34">
        <f t="shared" ca="1" si="11"/>
        <v>0</v>
      </c>
    </row>
    <row r="745" spans="1:4" x14ac:dyDescent="0.4">
      <c r="A745" s="79">
        <f>'Trial Balance Dump'!B749</f>
        <v>0</v>
      </c>
      <c r="B745" s="34" cm="1">
        <f t="array" aca="1" ref="B745" ca="1">IFERROR(SEARCH(INDIRECT(CELL("address")),A745),0)</f>
        <v>1</v>
      </c>
      <c r="C745" s="34">
        <f ca="1">IF(B745=0,"",COUNTIF($B$2:B745,"&gt;0"))</f>
        <v>744</v>
      </c>
      <c r="D745" s="34">
        <f t="shared" ca="1" si="11"/>
        <v>0</v>
      </c>
    </row>
    <row r="746" spans="1:4" x14ac:dyDescent="0.4">
      <c r="A746" s="79">
        <f>'Trial Balance Dump'!B750</f>
        <v>0</v>
      </c>
      <c r="B746" s="34" cm="1">
        <f t="array" aca="1" ref="B746" ca="1">IFERROR(SEARCH(INDIRECT(CELL("address")),A746),0)</f>
        <v>1</v>
      </c>
      <c r="C746" s="34">
        <f ca="1">IF(B746=0,"",COUNTIF($B$2:B746,"&gt;0"))</f>
        <v>745</v>
      </c>
      <c r="D746" s="34">
        <f t="shared" ca="1" si="11"/>
        <v>0</v>
      </c>
    </row>
    <row r="747" spans="1:4" x14ac:dyDescent="0.4">
      <c r="A747" s="79">
        <f>'Trial Balance Dump'!B751</f>
        <v>0</v>
      </c>
      <c r="B747" s="34" cm="1">
        <f t="array" aca="1" ref="B747" ca="1">IFERROR(SEARCH(INDIRECT(CELL("address")),A747),0)</f>
        <v>1</v>
      </c>
      <c r="C747" s="34">
        <f ca="1">IF(B747=0,"",COUNTIF($B$2:B747,"&gt;0"))</f>
        <v>746</v>
      </c>
      <c r="D747" s="34">
        <f t="shared" ca="1" si="11"/>
        <v>0</v>
      </c>
    </row>
    <row r="748" spans="1:4" x14ac:dyDescent="0.4">
      <c r="A748" s="79">
        <f>'Trial Balance Dump'!B752</f>
        <v>0</v>
      </c>
      <c r="B748" s="34" cm="1">
        <f t="array" aca="1" ref="B748" ca="1">IFERROR(SEARCH(INDIRECT(CELL("address")),A748),0)</f>
        <v>1</v>
      </c>
      <c r="C748" s="34">
        <f ca="1">IF(B748=0,"",COUNTIF($B$2:B748,"&gt;0"))</f>
        <v>747</v>
      </c>
      <c r="D748" s="34">
        <f t="shared" ca="1" si="11"/>
        <v>0</v>
      </c>
    </row>
    <row r="749" spans="1:4" x14ac:dyDescent="0.4">
      <c r="A749" s="79">
        <f>'Trial Balance Dump'!B753</f>
        <v>0</v>
      </c>
      <c r="B749" s="34" cm="1">
        <f t="array" aca="1" ref="B749" ca="1">IFERROR(SEARCH(INDIRECT(CELL("address")),A749),0)</f>
        <v>1</v>
      </c>
      <c r="C749" s="34">
        <f ca="1">IF(B749=0,"",COUNTIF($B$2:B749,"&gt;0"))</f>
        <v>748</v>
      </c>
      <c r="D749" s="34">
        <f t="shared" ca="1" si="11"/>
        <v>0</v>
      </c>
    </row>
    <row r="750" spans="1:4" x14ac:dyDescent="0.4">
      <c r="A750" s="79">
        <f>'Trial Balance Dump'!B754</f>
        <v>0</v>
      </c>
      <c r="B750" s="34" cm="1">
        <f t="array" aca="1" ref="B750" ca="1">IFERROR(SEARCH(INDIRECT(CELL("address")),A750),0)</f>
        <v>1</v>
      </c>
      <c r="C750" s="34">
        <f ca="1">IF(B750=0,"",COUNTIF($B$2:B750,"&gt;0"))</f>
        <v>749</v>
      </c>
      <c r="D750" s="34">
        <f t="shared" ca="1" si="11"/>
        <v>0</v>
      </c>
    </row>
    <row r="751" spans="1:4" x14ac:dyDescent="0.4">
      <c r="A751" s="79">
        <f>'Trial Balance Dump'!B755</f>
        <v>0</v>
      </c>
      <c r="B751" s="34" cm="1">
        <f t="array" aca="1" ref="B751" ca="1">IFERROR(SEARCH(INDIRECT(CELL("address")),A751),0)</f>
        <v>1</v>
      </c>
      <c r="C751" s="34">
        <f ca="1">IF(B751=0,"",COUNTIF($B$2:B751,"&gt;0"))</f>
        <v>750</v>
      </c>
      <c r="D751" s="34">
        <f t="shared" ca="1" si="11"/>
        <v>0</v>
      </c>
    </row>
    <row r="752" spans="1:4" x14ac:dyDescent="0.4">
      <c r="A752" s="79">
        <f>'Trial Balance Dump'!B756</f>
        <v>0</v>
      </c>
      <c r="B752" s="34" cm="1">
        <f t="array" aca="1" ref="B752" ca="1">IFERROR(SEARCH(INDIRECT(CELL("address")),A752),0)</f>
        <v>1</v>
      </c>
      <c r="C752" s="34">
        <f ca="1">IF(B752=0,"",COUNTIF($B$2:B752,"&gt;0"))</f>
        <v>751</v>
      </c>
      <c r="D752" s="34">
        <f t="shared" ca="1" si="11"/>
        <v>0</v>
      </c>
    </row>
    <row r="753" spans="1:4" x14ac:dyDescent="0.4">
      <c r="A753" s="79">
        <f>'Trial Balance Dump'!B757</f>
        <v>0</v>
      </c>
      <c r="B753" s="34" cm="1">
        <f t="array" aca="1" ref="B753" ca="1">IFERROR(SEARCH(INDIRECT(CELL("address")),A753),0)</f>
        <v>1</v>
      </c>
      <c r="C753" s="34">
        <f ca="1">IF(B753=0,"",COUNTIF($B$2:B753,"&gt;0"))</f>
        <v>752</v>
      </c>
      <c r="D753" s="34">
        <f t="shared" ca="1" si="11"/>
        <v>0</v>
      </c>
    </row>
    <row r="754" spans="1:4" x14ac:dyDescent="0.4">
      <c r="A754" s="79">
        <f>'Trial Balance Dump'!B758</f>
        <v>0</v>
      </c>
      <c r="B754" s="34" cm="1">
        <f t="array" aca="1" ref="B754" ca="1">IFERROR(SEARCH(INDIRECT(CELL("address")),A754),0)</f>
        <v>1</v>
      </c>
      <c r="C754" s="34">
        <f ca="1">IF(B754=0,"",COUNTIF($B$2:B754,"&gt;0"))</f>
        <v>753</v>
      </c>
      <c r="D754" s="34">
        <f t="shared" ca="1" si="11"/>
        <v>0</v>
      </c>
    </row>
    <row r="755" spans="1:4" x14ac:dyDescent="0.4">
      <c r="A755" s="79">
        <f>'Trial Balance Dump'!B759</f>
        <v>0</v>
      </c>
      <c r="B755" s="34" cm="1">
        <f t="array" aca="1" ref="B755" ca="1">IFERROR(SEARCH(INDIRECT(CELL("address")),A755),0)</f>
        <v>1</v>
      </c>
      <c r="C755" s="34">
        <f ca="1">IF(B755=0,"",COUNTIF($B$2:B755,"&gt;0"))</f>
        <v>754</v>
      </c>
      <c r="D755" s="34">
        <f t="shared" ca="1" si="11"/>
        <v>0</v>
      </c>
    </row>
    <row r="756" spans="1:4" x14ac:dyDescent="0.4">
      <c r="A756" s="79">
        <f>'Trial Balance Dump'!B760</f>
        <v>0</v>
      </c>
      <c r="B756" s="34" cm="1">
        <f t="array" aca="1" ref="B756" ca="1">IFERROR(SEARCH(INDIRECT(CELL("address")),A756),0)</f>
        <v>1</v>
      </c>
      <c r="C756" s="34">
        <f ca="1">IF(B756=0,"",COUNTIF($B$2:B756,"&gt;0"))</f>
        <v>755</v>
      </c>
      <c r="D756" s="34">
        <f t="shared" ca="1" si="11"/>
        <v>0</v>
      </c>
    </row>
    <row r="757" spans="1:4" x14ac:dyDescent="0.4">
      <c r="A757" s="79">
        <f>'Trial Balance Dump'!B761</f>
        <v>0</v>
      </c>
      <c r="B757" s="34" cm="1">
        <f t="array" aca="1" ref="B757" ca="1">IFERROR(SEARCH(INDIRECT(CELL("address")),A757),0)</f>
        <v>1</v>
      </c>
      <c r="C757" s="34">
        <f ca="1">IF(B757=0,"",COUNTIF($B$2:B757,"&gt;0"))</f>
        <v>756</v>
      </c>
      <c r="D757" s="34">
        <f t="shared" ca="1" si="11"/>
        <v>0</v>
      </c>
    </row>
    <row r="758" spans="1:4" x14ac:dyDescent="0.4">
      <c r="A758" s="79">
        <f>'Trial Balance Dump'!B762</f>
        <v>0</v>
      </c>
      <c r="B758" s="34" cm="1">
        <f t="array" aca="1" ref="B758" ca="1">IFERROR(SEARCH(INDIRECT(CELL("address")),A758),0)</f>
        <v>1</v>
      </c>
      <c r="C758" s="34">
        <f ca="1">IF(B758=0,"",COUNTIF($B$2:B758,"&gt;0"))</f>
        <v>757</v>
      </c>
      <c r="D758" s="34">
        <f t="shared" ca="1" si="11"/>
        <v>0</v>
      </c>
    </row>
    <row r="759" spans="1:4" x14ac:dyDescent="0.4">
      <c r="A759" s="79">
        <f>'Trial Balance Dump'!B763</f>
        <v>0</v>
      </c>
      <c r="B759" s="34" cm="1">
        <f t="array" aca="1" ref="B759" ca="1">IFERROR(SEARCH(INDIRECT(CELL("address")),A759),0)</f>
        <v>1</v>
      </c>
      <c r="C759" s="34">
        <f ca="1">IF(B759=0,"",COUNTIF($B$2:B759,"&gt;0"))</f>
        <v>758</v>
      </c>
      <c r="D759" s="34">
        <f t="shared" ca="1" si="11"/>
        <v>0</v>
      </c>
    </row>
    <row r="760" spans="1:4" x14ac:dyDescent="0.4">
      <c r="A760" s="79">
        <f>'Trial Balance Dump'!B764</f>
        <v>0</v>
      </c>
      <c r="B760" s="34" cm="1">
        <f t="array" aca="1" ref="B760" ca="1">IFERROR(SEARCH(INDIRECT(CELL("address")),A760),0)</f>
        <v>1</v>
      </c>
      <c r="C760" s="34">
        <f ca="1">IF(B760=0,"",COUNTIF($B$2:B760,"&gt;0"))</f>
        <v>759</v>
      </c>
      <c r="D760" s="34">
        <f t="shared" ca="1" si="11"/>
        <v>0</v>
      </c>
    </row>
    <row r="761" spans="1:4" x14ac:dyDescent="0.4">
      <c r="A761" s="79">
        <f>'Trial Balance Dump'!B765</f>
        <v>0</v>
      </c>
      <c r="B761" s="34" cm="1">
        <f t="array" aca="1" ref="B761" ca="1">IFERROR(SEARCH(INDIRECT(CELL("address")),A761),0)</f>
        <v>1</v>
      </c>
      <c r="C761" s="34">
        <f ca="1">IF(B761=0,"",COUNTIF($B$2:B761,"&gt;0"))</f>
        <v>760</v>
      </c>
      <c r="D761" s="34">
        <f t="shared" ca="1" si="11"/>
        <v>0</v>
      </c>
    </row>
    <row r="762" spans="1:4" x14ac:dyDescent="0.4">
      <c r="A762" s="79">
        <f>'Trial Balance Dump'!B766</f>
        <v>0</v>
      </c>
      <c r="B762" s="34" cm="1">
        <f t="array" aca="1" ref="B762" ca="1">IFERROR(SEARCH(INDIRECT(CELL("address")),A762),0)</f>
        <v>1</v>
      </c>
      <c r="C762" s="34">
        <f ca="1">IF(B762=0,"",COUNTIF($B$2:B762,"&gt;0"))</f>
        <v>761</v>
      </c>
      <c r="D762" s="34">
        <f t="shared" ca="1" si="11"/>
        <v>0</v>
      </c>
    </row>
    <row r="763" spans="1:4" x14ac:dyDescent="0.4">
      <c r="A763" s="79">
        <f>'Trial Balance Dump'!B767</f>
        <v>0</v>
      </c>
      <c r="B763" s="34" cm="1">
        <f t="array" aca="1" ref="B763" ca="1">IFERROR(SEARCH(INDIRECT(CELL("address")),A763),0)</f>
        <v>1</v>
      </c>
      <c r="C763" s="34">
        <f ca="1">IF(B763=0,"",COUNTIF($B$2:B763,"&gt;0"))</f>
        <v>762</v>
      </c>
      <c r="D763" s="34">
        <f t="shared" ca="1" si="11"/>
        <v>0</v>
      </c>
    </row>
    <row r="764" spans="1:4" x14ac:dyDescent="0.4">
      <c r="A764" s="79">
        <f>'Trial Balance Dump'!B768</f>
        <v>0</v>
      </c>
      <c r="B764" s="34" cm="1">
        <f t="array" aca="1" ref="B764" ca="1">IFERROR(SEARCH(INDIRECT(CELL("address")),A764),0)</f>
        <v>1</v>
      </c>
      <c r="C764" s="34">
        <f ca="1">IF(B764=0,"",COUNTIF($B$2:B764,"&gt;0"))</f>
        <v>763</v>
      </c>
      <c r="D764" s="34">
        <f t="shared" ca="1" si="11"/>
        <v>0</v>
      </c>
    </row>
    <row r="765" spans="1:4" x14ac:dyDescent="0.4">
      <c r="A765" s="79">
        <f>'Trial Balance Dump'!B769</f>
        <v>0</v>
      </c>
      <c r="B765" s="34" cm="1">
        <f t="array" aca="1" ref="B765" ca="1">IFERROR(SEARCH(INDIRECT(CELL("address")),A765),0)</f>
        <v>1</v>
      </c>
      <c r="C765" s="34">
        <f ca="1">IF(B765=0,"",COUNTIF($B$2:B765,"&gt;0"))</f>
        <v>764</v>
      </c>
      <c r="D765" s="34">
        <f t="shared" ca="1" si="11"/>
        <v>0</v>
      </c>
    </row>
    <row r="766" spans="1:4" x14ac:dyDescent="0.4">
      <c r="A766" s="79">
        <f>'Trial Balance Dump'!B770</f>
        <v>0</v>
      </c>
      <c r="B766" s="34" cm="1">
        <f t="array" aca="1" ref="B766" ca="1">IFERROR(SEARCH(INDIRECT(CELL("address")),A766),0)</f>
        <v>1</v>
      </c>
      <c r="C766" s="34">
        <f ca="1">IF(B766=0,"",COUNTIF($B$2:B766,"&gt;0"))</f>
        <v>765</v>
      </c>
      <c r="D766" s="34">
        <f t="shared" ca="1" si="11"/>
        <v>0</v>
      </c>
    </row>
    <row r="767" spans="1:4" x14ac:dyDescent="0.4">
      <c r="A767" s="79">
        <f>'Trial Balance Dump'!B771</f>
        <v>0</v>
      </c>
      <c r="B767" s="34" cm="1">
        <f t="array" aca="1" ref="B767" ca="1">IFERROR(SEARCH(INDIRECT(CELL("address")),A767),0)</f>
        <v>1</v>
      </c>
      <c r="C767" s="34">
        <f ca="1">IF(B767=0,"",COUNTIF($B$2:B767,"&gt;0"))</f>
        <v>766</v>
      </c>
      <c r="D767" s="34">
        <f t="shared" ca="1" si="11"/>
        <v>0</v>
      </c>
    </row>
    <row r="768" spans="1:4" x14ac:dyDescent="0.4">
      <c r="A768" s="79">
        <f>'Trial Balance Dump'!B772</f>
        <v>0</v>
      </c>
      <c r="B768" s="34" cm="1">
        <f t="array" aca="1" ref="B768" ca="1">IFERROR(SEARCH(INDIRECT(CELL("address")),A768),0)</f>
        <v>1</v>
      </c>
      <c r="C768" s="34">
        <f ca="1">IF(B768=0,"",COUNTIF($B$2:B768,"&gt;0"))</f>
        <v>767</v>
      </c>
      <c r="D768" s="34">
        <f t="shared" ca="1" si="11"/>
        <v>0</v>
      </c>
    </row>
    <row r="769" spans="1:4" x14ac:dyDescent="0.4">
      <c r="A769" s="79">
        <f>'Trial Balance Dump'!B773</f>
        <v>0</v>
      </c>
      <c r="B769" s="34" cm="1">
        <f t="array" aca="1" ref="B769" ca="1">IFERROR(SEARCH(INDIRECT(CELL("address")),A769),0)</f>
        <v>1</v>
      </c>
      <c r="C769" s="34">
        <f ca="1">IF(B769=0,"",COUNTIF($B$2:B769,"&gt;0"))</f>
        <v>768</v>
      </c>
      <c r="D769" s="34">
        <f t="shared" ca="1" si="11"/>
        <v>0</v>
      </c>
    </row>
    <row r="770" spans="1:4" x14ac:dyDescent="0.4">
      <c r="A770" s="79">
        <f>'Trial Balance Dump'!B774</f>
        <v>0</v>
      </c>
      <c r="B770" s="34" cm="1">
        <f t="array" aca="1" ref="B770" ca="1">IFERROR(SEARCH(INDIRECT(CELL("address")),A770),0)</f>
        <v>1</v>
      </c>
      <c r="C770" s="34">
        <f ca="1">IF(B770=0,"",COUNTIF($B$2:B770,"&gt;0"))</f>
        <v>769</v>
      </c>
      <c r="D770" s="34">
        <f t="shared" ca="1" si="11"/>
        <v>0</v>
      </c>
    </row>
    <row r="771" spans="1:4" x14ac:dyDescent="0.4">
      <c r="A771" s="79">
        <f>'Trial Balance Dump'!B775</f>
        <v>0</v>
      </c>
      <c r="B771" s="34" cm="1">
        <f t="array" aca="1" ref="B771" ca="1">IFERROR(SEARCH(INDIRECT(CELL("address")),A771),0)</f>
        <v>1</v>
      </c>
      <c r="C771" s="34">
        <f ca="1">IF(B771=0,"",COUNTIF($B$2:B771,"&gt;0"))</f>
        <v>770</v>
      </c>
      <c r="D771" s="34">
        <f t="shared" ref="D771:D834" ca="1" si="12">IFERROR(INDEX(A:A,MATCH(ROW(B770),C:C,0)),"")</f>
        <v>0</v>
      </c>
    </row>
    <row r="772" spans="1:4" x14ac:dyDescent="0.4">
      <c r="A772" s="79">
        <f>'Trial Balance Dump'!B776</f>
        <v>0</v>
      </c>
      <c r="B772" s="34" cm="1">
        <f t="array" aca="1" ref="B772" ca="1">IFERROR(SEARCH(INDIRECT(CELL("address")),A772),0)</f>
        <v>1</v>
      </c>
      <c r="C772" s="34">
        <f ca="1">IF(B772=0,"",COUNTIF($B$2:B772,"&gt;0"))</f>
        <v>771</v>
      </c>
      <c r="D772" s="34">
        <f t="shared" ca="1" si="12"/>
        <v>0</v>
      </c>
    </row>
    <row r="773" spans="1:4" x14ac:dyDescent="0.4">
      <c r="A773" s="79">
        <f>'Trial Balance Dump'!B777</f>
        <v>0</v>
      </c>
      <c r="B773" s="34" cm="1">
        <f t="array" aca="1" ref="B773" ca="1">IFERROR(SEARCH(INDIRECT(CELL("address")),A773),0)</f>
        <v>1</v>
      </c>
      <c r="C773" s="34">
        <f ca="1">IF(B773=0,"",COUNTIF($B$2:B773,"&gt;0"))</f>
        <v>772</v>
      </c>
      <c r="D773" s="34">
        <f t="shared" ca="1" si="12"/>
        <v>0</v>
      </c>
    </row>
    <row r="774" spans="1:4" x14ac:dyDescent="0.4">
      <c r="A774" s="79">
        <f>'Trial Balance Dump'!B778</f>
        <v>0</v>
      </c>
      <c r="B774" s="34" cm="1">
        <f t="array" aca="1" ref="B774" ca="1">IFERROR(SEARCH(INDIRECT(CELL("address")),A774),0)</f>
        <v>1</v>
      </c>
      <c r="C774" s="34">
        <f ca="1">IF(B774=0,"",COUNTIF($B$2:B774,"&gt;0"))</f>
        <v>773</v>
      </c>
      <c r="D774" s="34">
        <f t="shared" ca="1" si="12"/>
        <v>0</v>
      </c>
    </row>
    <row r="775" spans="1:4" x14ac:dyDescent="0.4">
      <c r="A775" s="79">
        <f>'Trial Balance Dump'!B779</f>
        <v>0</v>
      </c>
      <c r="B775" s="34" cm="1">
        <f t="array" aca="1" ref="B775" ca="1">IFERROR(SEARCH(INDIRECT(CELL("address")),A775),0)</f>
        <v>1</v>
      </c>
      <c r="C775" s="34">
        <f ca="1">IF(B775=0,"",COUNTIF($B$2:B775,"&gt;0"))</f>
        <v>774</v>
      </c>
      <c r="D775" s="34">
        <f t="shared" ca="1" si="12"/>
        <v>0</v>
      </c>
    </row>
    <row r="776" spans="1:4" x14ac:dyDescent="0.4">
      <c r="A776" s="79">
        <f>'Trial Balance Dump'!B780</f>
        <v>0</v>
      </c>
      <c r="B776" s="34" cm="1">
        <f t="array" aca="1" ref="B776" ca="1">IFERROR(SEARCH(INDIRECT(CELL("address")),A776),0)</f>
        <v>1</v>
      </c>
      <c r="C776" s="34">
        <f ca="1">IF(B776=0,"",COUNTIF($B$2:B776,"&gt;0"))</f>
        <v>775</v>
      </c>
      <c r="D776" s="34">
        <f t="shared" ca="1" si="12"/>
        <v>0</v>
      </c>
    </row>
    <row r="777" spans="1:4" x14ac:dyDescent="0.4">
      <c r="A777" s="79">
        <f>'Trial Balance Dump'!B781</f>
        <v>0</v>
      </c>
      <c r="B777" s="34" cm="1">
        <f t="array" aca="1" ref="B777" ca="1">IFERROR(SEARCH(INDIRECT(CELL("address")),A777),0)</f>
        <v>1</v>
      </c>
      <c r="C777" s="34">
        <f ca="1">IF(B777=0,"",COUNTIF($B$2:B777,"&gt;0"))</f>
        <v>776</v>
      </c>
      <c r="D777" s="34">
        <f t="shared" ca="1" si="12"/>
        <v>0</v>
      </c>
    </row>
    <row r="778" spans="1:4" x14ac:dyDescent="0.4">
      <c r="A778" s="79">
        <f>'Trial Balance Dump'!B782</f>
        <v>0</v>
      </c>
      <c r="B778" s="34" cm="1">
        <f t="array" aca="1" ref="B778" ca="1">IFERROR(SEARCH(INDIRECT(CELL("address")),A778),0)</f>
        <v>1</v>
      </c>
      <c r="C778" s="34">
        <f ca="1">IF(B778=0,"",COUNTIF($B$2:B778,"&gt;0"))</f>
        <v>777</v>
      </c>
      <c r="D778" s="34">
        <f t="shared" ca="1" si="12"/>
        <v>0</v>
      </c>
    </row>
    <row r="779" spans="1:4" x14ac:dyDescent="0.4">
      <c r="A779" s="79">
        <f>'Trial Balance Dump'!B783</f>
        <v>0</v>
      </c>
      <c r="B779" s="34" cm="1">
        <f t="array" aca="1" ref="B779" ca="1">IFERROR(SEARCH(INDIRECT(CELL("address")),A779),0)</f>
        <v>1</v>
      </c>
      <c r="C779" s="34">
        <f ca="1">IF(B779=0,"",COUNTIF($B$2:B779,"&gt;0"))</f>
        <v>778</v>
      </c>
      <c r="D779" s="34">
        <f t="shared" ca="1" si="12"/>
        <v>0</v>
      </c>
    </row>
    <row r="780" spans="1:4" x14ac:dyDescent="0.4">
      <c r="A780" s="79">
        <f>'Trial Balance Dump'!B784</f>
        <v>0</v>
      </c>
      <c r="B780" s="34" cm="1">
        <f t="array" aca="1" ref="B780" ca="1">IFERROR(SEARCH(INDIRECT(CELL("address")),A780),0)</f>
        <v>1</v>
      </c>
      <c r="C780" s="34">
        <f ca="1">IF(B780=0,"",COUNTIF($B$2:B780,"&gt;0"))</f>
        <v>779</v>
      </c>
      <c r="D780" s="34">
        <f t="shared" ca="1" si="12"/>
        <v>0</v>
      </c>
    </row>
    <row r="781" spans="1:4" x14ac:dyDescent="0.4">
      <c r="A781" s="79">
        <f>'Trial Balance Dump'!B785</f>
        <v>0</v>
      </c>
      <c r="B781" s="34" cm="1">
        <f t="array" aca="1" ref="B781" ca="1">IFERROR(SEARCH(INDIRECT(CELL("address")),A781),0)</f>
        <v>1</v>
      </c>
      <c r="C781" s="34">
        <f ca="1">IF(B781=0,"",COUNTIF($B$2:B781,"&gt;0"))</f>
        <v>780</v>
      </c>
      <c r="D781" s="34">
        <f t="shared" ca="1" si="12"/>
        <v>0</v>
      </c>
    </row>
    <row r="782" spans="1:4" x14ac:dyDescent="0.4">
      <c r="A782" s="79">
        <f>'Trial Balance Dump'!B786</f>
        <v>0</v>
      </c>
      <c r="B782" s="34" cm="1">
        <f t="array" aca="1" ref="B782" ca="1">IFERROR(SEARCH(INDIRECT(CELL("address")),A782),0)</f>
        <v>1</v>
      </c>
      <c r="C782" s="34">
        <f ca="1">IF(B782=0,"",COUNTIF($B$2:B782,"&gt;0"))</f>
        <v>781</v>
      </c>
      <c r="D782" s="34">
        <f t="shared" ca="1" si="12"/>
        <v>0</v>
      </c>
    </row>
    <row r="783" spans="1:4" x14ac:dyDescent="0.4">
      <c r="A783" s="79">
        <f>'Trial Balance Dump'!B787</f>
        <v>0</v>
      </c>
      <c r="B783" s="34" cm="1">
        <f t="array" aca="1" ref="B783" ca="1">IFERROR(SEARCH(INDIRECT(CELL("address")),A783),0)</f>
        <v>1</v>
      </c>
      <c r="C783" s="34">
        <f ca="1">IF(B783=0,"",COUNTIF($B$2:B783,"&gt;0"))</f>
        <v>782</v>
      </c>
      <c r="D783" s="34">
        <f t="shared" ca="1" si="12"/>
        <v>0</v>
      </c>
    </row>
    <row r="784" spans="1:4" x14ac:dyDescent="0.4">
      <c r="A784" s="79">
        <f>'Trial Balance Dump'!B788</f>
        <v>0</v>
      </c>
      <c r="B784" s="34" cm="1">
        <f t="array" aca="1" ref="B784" ca="1">IFERROR(SEARCH(INDIRECT(CELL("address")),A784),0)</f>
        <v>1</v>
      </c>
      <c r="C784" s="34">
        <f ca="1">IF(B784=0,"",COUNTIF($B$2:B784,"&gt;0"))</f>
        <v>783</v>
      </c>
      <c r="D784" s="34">
        <f t="shared" ca="1" si="12"/>
        <v>0</v>
      </c>
    </row>
    <row r="785" spans="1:4" x14ac:dyDescent="0.4">
      <c r="A785" s="79">
        <f>'Trial Balance Dump'!B789</f>
        <v>0</v>
      </c>
      <c r="B785" s="34" cm="1">
        <f t="array" aca="1" ref="B785" ca="1">IFERROR(SEARCH(INDIRECT(CELL("address")),A785),0)</f>
        <v>1</v>
      </c>
      <c r="C785" s="34">
        <f ca="1">IF(B785=0,"",COUNTIF($B$2:B785,"&gt;0"))</f>
        <v>784</v>
      </c>
      <c r="D785" s="34">
        <f t="shared" ca="1" si="12"/>
        <v>0</v>
      </c>
    </row>
    <row r="786" spans="1:4" x14ac:dyDescent="0.4">
      <c r="A786" s="79">
        <f>'Trial Balance Dump'!B790</f>
        <v>0</v>
      </c>
      <c r="B786" s="34" cm="1">
        <f t="array" aca="1" ref="B786" ca="1">IFERROR(SEARCH(INDIRECT(CELL("address")),A786),0)</f>
        <v>1</v>
      </c>
      <c r="C786" s="34">
        <f ca="1">IF(B786=0,"",COUNTIF($B$2:B786,"&gt;0"))</f>
        <v>785</v>
      </c>
      <c r="D786" s="34">
        <f t="shared" ca="1" si="12"/>
        <v>0</v>
      </c>
    </row>
    <row r="787" spans="1:4" x14ac:dyDescent="0.4">
      <c r="A787" s="79">
        <f>'Trial Balance Dump'!B791</f>
        <v>0</v>
      </c>
      <c r="B787" s="34" cm="1">
        <f t="array" aca="1" ref="B787" ca="1">IFERROR(SEARCH(INDIRECT(CELL("address")),A787),0)</f>
        <v>1</v>
      </c>
      <c r="C787" s="34">
        <f ca="1">IF(B787=0,"",COUNTIF($B$2:B787,"&gt;0"))</f>
        <v>786</v>
      </c>
      <c r="D787" s="34">
        <f t="shared" ca="1" si="12"/>
        <v>0</v>
      </c>
    </row>
    <row r="788" spans="1:4" x14ac:dyDescent="0.4">
      <c r="A788" s="79">
        <f>'Trial Balance Dump'!B792</f>
        <v>0</v>
      </c>
      <c r="B788" s="34" cm="1">
        <f t="array" aca="1" ref="B788" ca="1">IFERROR(SEARCH(INDIRECT(CELL("address")),A788),0)</f>
        <v>1</v>
      </c>
      <c r="C788" s="34">
        <f ca="1">IF(B788=0,"",COUNTIF($B$2:B788,"&gt;0"))</f>
        <v>787</v>
      </c>
      <c r="D788" s="34">
        <f t="shared" ca="1" si="12"/>
        <v>0</v>
      </c>
    </row>
    <row r="789" spans="1:4" x14ac:dyDescent="0.4">
      <c r="A789" s="79">
        <f>'Trial Balance Dump'!B793</f>
        <v>0</v>
      </c>
      <c r="B789" s="34" cm="1">
        <f t="array" aca="1" ref="B789" ca="1">IFERROR(SEARCH(INDIRECT(CELL("address")),A789),0)</f>
        <v>1</v>
      </c>
      <c r="C789" s="34">
        <f ca="1">IF(B789=0,"",COUNTIF($B$2:B789,"&gt;0"))</f>
        <v>788</v>
      </c>
      <c r="D789" s="34">
        <f t="shared" ca="1" si="12"/>
        <v>0</v>
      </c>
    </row>
    <row r="790" spans="1:4" x14ac:dyDescent="0.4">
      <c r="A790" s="79">
        <f>'Trial Balance Dump'!B794</f>
        <v>0</v>
      </c>
      <c r="B790" s="34" cm="1">
        <f t="array" aca="1" ref="B790" ca="1">IFERROR(SEARCH(INDIRECT(CELL("address")),A790),0)</f>
        <v>1</v>
      </c>
      <c r="C790" s="34">
        <f ca="1">IF(B790=0,"",COUNTIF($B$2:B790,"&gt;0"))</f>
        <v>789</v>
      </c>
      <c r="D790" s="34">
        <f t="shared" ca="1" si="12"/>
        <v>0</v>
      </c>
    </row>
    <row r="791" spans="1:4" x14ac:dyDescent="0.4">
      <c r="A791" s="79">
        <f>'Trial Balance Dump'!B795</f>
        <v>0</v>
      </c>
      <c r="B791" s="34" cm="1">
        <f t="array" aca="1" ref="B791" ca="1">IFERROR(SEARCH(INDIRECT(CELL("address")),A791),0)</f>
        <v>1</v>
      </c>
      <c r="C791" s="34">
        <f ca="1">IF(B791=0,"",COUNTIF($B$2:B791,"&gt;0"))</f>
        <v>790</v>
      </c>
      <c r="D791" s="34">
        <f t="shared" ca="1" si="12"/>
        <v>0</v>
      </c>
    </row>
    <row r="792" spans="1:4" x14ac:dyDescent="0.4">
      <c r="A792" s="79">
        <f>'Trial Balance Dump'!B796</f>
        <v>0</v>
      </c>
      <c r="B792" s="34" cm="1">
        <f t="array" aca="1" ref="B792" ca="1">IFERROR(SEARCH(INDIRECT(CELL("address")),A792),0)</f>
        <v>1</v>
      </c>
      <c r="C792" s="34">
        <f ca="1">IF(B792=0,"",COUNTIF($B$2:B792,"&gt;0"))</f>
        <v>791</v>
      </c>
      <c r="D792" s="34">
        <f t="shared" ca="1" si="12"/>
        <v>0</v>
      </c>
    </row>
    <row r="793" spans="1:4" x14ac:dyDescent="0.4">
      <c r="A793" s="79">
        <f>'Trial Balance Dump'!B797</f>
        <v>0</v>
      </c>
      <c r="B793" s="34" cm="1">
        <f t="array" aca="1" ref="B793" ca="1">IFERROR(SEARCH(INDIRECT(CELL("address")),A793),0)</f>
        <v>1</v>
      </c>
      <c r="C793" s="34">
        <f ca="1">IF(B793=0,"",COUNTIF($B$2:B793,"&gt;0"))</f>
        <v>792</v>
      </c>
      <c r="D793" s="34">
        <f t="shared" ca="1" si="12"/>
        <v>0</v>
      </c>
    </row>
    <row r="794" spans="1:4" x14ac:dyDescent="0.4">
      <c r="A794" s="79">
        <f>'Trial Balance Dump'!B798</f>
        <v>0</v>
      </c>
      <c r="B794" s="34" cm="1">
        <f t="array" aca="1" ref="B794" ca="1">IFERROR(SEARCH(INDIRECT(CELL("address")),A794),0)</f>
        <v>1</v>
      </c>
      <c r="C794" s="34">
        <f ca="1">IF(B794=0,"",COUNTIF($B$2:B794,"&gt;0"))</f>
        <v>793</v>
      </c>
      <c r="D794" s="34">
        <f t="shared" ca="1" si="12"/>
        <v>0</v>
      </c>
    </row>
    <row r="795" spans="1:4" x14ac:dyDescent="0.4">
      <c r="A795" s="79">
        <f>'Trial Balance Dump'!B799</f>
        <v>0</v>
      </c>
      <c r="B795" s="34" cm="1">
        <f t="array" aca="1" ref="B795" ca="1">IFERROR(SEARCH(INDIRECT(CELL("address")),A795),0)</f>
        <v>1</v>
      </c>
      <c r="C795" s="34">
        <f ca="1">IF(B795=0,"",COUNTIF($B$2:B795,"&gt;0"))</f>
        <v>794</v>
      </c>
      <c r="D795" s="34">
        <f t="shared" ca="1" si="12"/>
        <v>0</v>
      </c>
    </row>
    <row r="796" spans="1:4" x14ac:dyDescent="0.4">
      <c r="A796" s="79">
        <f>'Trial Balance Dump'!B800</f>
        <v>0</v>
      </c>
      <c r="B796" s="34" cm="1">
        <f t="array" aca="1" ref="B796" ca="1">IFERROR(SEARCH(INDIRECT(CELL("address")),A796),0)</f>
        <v>1</v>
      </c>
      <c r="C796" s="34">
        <f ca="1">IF(B796=0,"",COUNTIF($B$2:B796,"&gt;0"))</f>
        <v>795</v>
      </c>
      <c r="D796" s="34">
        <f t="shared" ca="1" si="12"/>
        <v>0</v>
      </c>
    </row>
    <row r="797" spans="1:4" x14ac:dyDescent="0.4">
      <c r="A797" s="79">
        <f>'Trial Balance Dump'!B801</f>
        <v>0</v>
      </c>
      <c r="B797" s="34" cm="1">
        <f t="array" aca="1" ref="B797" ca="1">IFERROR(SEARCH(INDIRECT(CELL("address")),A797),0)</f>
        <v>1</v>
      </c>
      <c r="C797" s="34">
        <f ca="1">IF(B797=0,"",COUNTIF($B$2:B797,"&gt;0"))</f>
        <v>796</v>
      </c>
      <c r="D797" s="34">
        <f t="shared" ca="1" si="12"/>
        <v>0</v>
      </c>
    </row>
    <row r="798" spans="1:4" x14ac:dyDescent="0.4">
      <c r="A798" s="79">
        <f>'Trial Balance Dump'!B802</f>
        <v>0</v>
      </c>
      <c r="B798" s="34" cm="1">
        <f t="array" aca="1" ref="B798" ca="1">IFERROR(SEARCH(INDIRECT(CELL("address")),A798),0)</f>
        <v>1</v>
      </c>
      <c r="C798" s="34">
        <f ca="1">IF(B798=0,"",COUNTIF($B$2:B798,"&gt;0"))</f>
        <v>797</v>
      </c>
      <c r="D798" s="34">
        <f t="shared" ca="1" si="12"/>
        <v>0</v>
      </c>
    </row>
    <row r="799" spans="1:4" x14ac:dyDescent="0.4">
      <c r="A799" s="79">
        <f>'Trial Balance Dump'!B803</f>
        <v>0</v>
      </c>
      <c r="B799" s="34" cm="1">
        <f t="array" aca="1" ref="B799" ca="1">IFERROR(SEARCH(INDIRECT(CELL("address")),A799),0)</f>
        <v>1</v>
      </c>
      <c r="C799" s="34">
        <f ca="1">IF(B799=0,"",COUNTIF($B$2:B799,"&gt;0"))</f>
        <v>798</v>
      </c>
      <c r="D799" s="34">
        <f t="shared" ca="1" si="12"/>
        <v>0</v>
      </c>
    </row>
    <row r="800" spans="1:4" x14ac:dyDescent="0.4">
      <c r="A800" s="79">
        <f>'Trial Balance Dump'!B804</f>
        <v>0</v>
      </c>
      <c r="B800" s="34" cm="1">
        <f t="array" aca="1" ref="B800" ca="1">IFERROR(SEARCH(INDIRECT(CELL("address")),A800),0)</f>
        <v>1</v>
      </c>
      <c r="C800" s="34">
        <f ca="1">IF(B800=0,"",COUNTIF($B$2:B800,"&gt;0"))</f>
        <v>799</v>
      </c>
      <c r="D800" s="34">
        <f t="shared" ca="1" si="12"/>
        <v>0</v>
      </c>
    </row>
    <row r="801" spans="1:4" x14ac:dyDescent="0.4">
      <c r="A801" s="79">
        <f>'Trial Balance Dump'!B805</f>
        <v>0</v>
      </c>
      <c r="B801" s="34" cm="1">
        <f t="array" aca="1" ref="B801" ca="1">IFERROR(SEARCH(INDIRECT(CELL("address")),A801),0)</f>
        <v>1</v>
      </c>
      <c r="C801" s="34">
        <f ca="1">IF(B801=0,"",COUNTIF($B$2:B801,"&gt;0"))</f>
        <v>800</v>
      </c>
      <c r="D801" s="34">
        <f t="shared" ca="1" si="12"/>
        <v>0</v>
      </c>
    </row>
    <row r="802" spans="1:4" x14ac:dyDescent="0.4">
      <c r="A802" s="79">
        <f>'Trial Balance Dump'!B806</f>
        <v>0</v>
      </c>
      <c r="B802" s="34" cm="1">
        <f t="array" aca="1" ref="B802" ca="1">IFERROR(SEARCH(INDIRECT(CELL("address")),A802),0)</f>
        <v>1</v>
      </c>
      <c r="C802" s="34">
        <f ca="1">IF(B802=0,"",COUNTIF($B$2:B802,"&gt;0"))</f>
        <v>801</v>
      </c>
      <c r="D802" s="34">
        <f t="shared" ca="1" si="12"/>
        <v>0</v>
      </c>
    </row>
    <row r="803" spans="1:4" x14ac:dyDescent="0.4">
      <c r="A803" s="79">
        <f>'Trial Balance Dump'!B807</f>
        <v>0</v>
      </c>
      <c r="B803" s="34" cm="1">
        <f t="array" aca="1" ref="B803" ca="1">IFERROR(SEARCH(INDIRECT(CELL("address")),A803),0)</f>
        <v>1</v>
      </c>
      <c r="C803" s="34">
        <f ca="1">IF(B803=0,"",COUNTIF($B$2:B803,"&gt;0"))</f>
        <v>802</v>
      </c>
      <c r="D803" s="34">
        <f t="shared" ca="1" si="12"/>
        <v>0</v>
      </c>
    </row>
    <row r="804" spans="1:4" x14ac:dyDescent="0.4">
      <c r="A804" s="79">
        <f>'Trial Balance Dump'!B808</f>
        <v>0</v>
      </c>
      <c r="B804" s="34" cm="1">
        <f t="array" aca="1" ref="B804" ca="1">IFERROR(SEARCH(INDIRECT(CELL("address")),A804),0)</f>
        <v>1</v>
      </c>
      <c r="C804" s="34">
        <f ca="1">IF(B804=0,"",COUNTIF($B$2:B804,"&gt;0"))</f>
        <v>803</v>
      </c>
      <c r="D804" s="34">
        <f t="shared" ca="1" si="12"/>
        <v>0</v>
      </c>
    </row>
    <row r="805" spans="1:4" x14ac:dyDescent="0.4">
      <c r="A805" s="79">
        <f>'Trial Balance Dump'!B809</f>
        <v>0</v>
      </c>
      <c r="B805" s="34" cm="1">
        <f t="array" aca="1" ref="B805" ca="1">IFERROR(SEARCH(INDIRECT(CELL("address")),A805),0)</f>
        <v>1</v>
      </c>
      <c r="C805" s="34">
        <f ca="1">IF(B805=0,"",COUNTIF($B$2:B805,"&gt;0"))</f>
        <v>804</v>
      </c>
      <c r="D805" s="34">
        <f t="shared" ca="1" si="12"/>
        <v>0</v>
      </c>
    </row>
    <row r="806" spans="1:4" x14ac:dyDescent="0.4">
      <c r="A806" s="79">
        <f>'Trial Balance Dump'!B810</f>
        <v>0</v>
      </c>
      <c r="B806" s="34" cm="1">
        <f t="array" aca="1" ref="B806" ca="1">IFERROR(SEARCH(INDIRECT(CELL("address")),A806),0)</f>
        <v>1</v>
      </c>
      <c r="C806" s="34">
        <f ca="1">IF(B806=0,"",COUNTIF($B$2:B806,"&gt;0"))</f>
        <v>805</v>
      </c>
      <c r="D806" s="34">
        <f t="shared" ca="1" si="12"/>
        <v>0</v>
      </c>
    </row>
    <row r="807" spans="1:4" x14ac:dyDescent="0.4">
      <c r="A807" s="79">
        <f>'Trial Balance Dump'!B811</f>
        <v>0</v>
      </c>
      <c r="B807" s="34" cm="1">
        <f t="array" aca="1" ref="B807" ca="1">IFERROR(SEARCH(INDIRECT(CELL("address")),A807),0)</f>
        <v>1</v>
      </c>
      <c r="C807" s="34">
        <f ca="1">IF(B807=0,"",COUNTIF($B$2:B807,"&gt;0"))</f>
        <v>806</v>
      </c>
      <c r="D807" s="34">
        <f t="shared" ca="1" si="12"/>
        <v>0</v>
      </c>
    </row>
    <row r="808" spans="1:4" x14ac:dyDescent="0.4">
      <c r="A808" s="79">
        <f>'Trial Balance Dump'!B812</f>
        <v>0</v>
      </c>
      <c r="B808" s="34" cm="1">
        <f t="array" aca="1" ref="B808" ca="1">IFERROR(SEARCH(INDIRECT(CELL("address")),A808),0)</f>
        <v>1</v>
      </c>
      <c r="C808" s="34">
        <f ca="1">IF(B808=0,"",COUNTIF($B$2:B808,"&gt;0"))</f>
        <v>807</v>
      </c>
      <c r="D808" s="34">
        <f t="shared" ca="1" si="12"/>
        <v>0</v>
      </c>
    </row>
    <row r="809" spans="1:4" x14ac:dyDescent="0.4">
      <c r="A809" s="79">
        <f>'Trial Balance Dump'!B813</f>
        <v>0</v>
      </c>
      <c r="B809" s="34" cm="1">
        <f t="array" aca="1" ref="B809" ca="1">IFERROR(SEARCH(INDIRECT(CELL("address")),A809),0)</f>
        <v>1</v>
      </c>
      <c r="C809" s="34">
        <f ca="1">IF(B809=0,"",COUNTIF($B$2:B809,"&gt;0"))</f>
        <v>808</v>
      </c>
      <c r="D809" s="34">
        <f t="shared" ca="1" si="12"/>
        <v>0</v>
      </c>
    </row>
    <row r="810" spans="1:4" x14ac:dyDescent="0.4">
      <c r="A810" s="79">
        <f>'Trial Balance Dump'!B814</f>
        <v>0</v>
      </c>
      <c r="B810" s="34" cm="1">
        <f t="array" aca="1" ref="B810" ca="1">IFERROR(SEARCH(INDIRECT(CELL("address")),A810),0)</f>
        <v>1</v>
      </c>
      <c r="C810" s="34">
        <f ca="1">IF(B810=0,"",COUNTIF($B$2:B810,"&gt;0"))</f>
        <v>809</v>
      </c>
      <c r="D810" s="34">
        <f t="shared" ca="1" si="12"/>
        <v>0</v>
      </c>
    </row>
    <row r="811" spans="1:4" x14ac:dyDescent="0.4">
      <c r="A811" s="79">
        <f>'Trial Balance Dump'!B815</f>
        <v>0</v>
      </c>
      <c r="B811" s="34" cm="1">
        <f t="array" aca="1" ref="B811" ca="1">IFERROR(SEARCH(INDIRECT(CELL("address")),A811),0)</f>
        <v>1</v>
      </c>
      <c r="C811" s="34">
        <f ca="1">IF(B811=0,"",COUNTIF($B$2:B811,"&gt;0"))</f>
        <v>810</v>
      </c>
      <c r="D811" s="34">
        <f t="shared" ca="1" si="12"/>
        <v>0</v>
      </c>
    </row>
    <row r="812" spans="1:4" x14ac:dyDescent="0.4">
      <c r="A812" s="79">
        <f>'Trial Balance Dump'!B816</f>
        <v>0</v>
      </c>
      <c r="B812" s="34" cm="1">
        <f t="array" aca="1" ref="B812" ca="1">IFERROR(SEARCH(INDIRECT(CELL("address")),A812),0)</f>
        <v>1</v>
      </c>
      <c r="C812" s="34">
        <f ca="1">IF(B812=0,"",COUNTIF($B$2:B812,"&gt;0"))</f>
        <v>811</v>
      </c>
      <c r="D812" s="34">
        <f t="shared" ca="1" si="12"/>
        <v>0</v>
      </c>
    </row>
    <row r="813" spans="1:4" x14ac:dyDescent="0.4">
      <c r="A813" s="79">
        <f>'Trial Balance Dump'!B817</f>
        <v>0</v>
      </c>
      <c r="B813" s="34" cm="1">
        <f t="array" aca="1" ref="B813" ca="1">IFERROR(SEARCH(INDIRECT(CELL("address")),A813),0)</f>
        <v>1</v>
      </c>
      <c r="C813" s="34">
        <f ca="1">IF(B813=0,"",COUNTIF($B$2:B813,"&gt;0"))</f>
        <v>812</v>
      </c>
      <c r="D813" s="34">
        <f t="shared" ca="1" si="12"/>
        <v>0</v>
      </c>
    </row>
    <row r="814" spans="1:4" x14ac:dyDescent="0.4">
      <c r="A814" s="79">
        <f>'Trial Balance Dump'!B818</f>
        <v>0</v>
      </c>
      <c r="B814" s="34" cm="1">
        <f t="array" aca="1" ref="B814" ca="1">IFERROR(SEARCH(INDIRECT(CELL("address")),A814),0)</f>
        <v>1</v>
      </c>
      <c r="C814" s="34">
        <f ca="1">IF(B814=0,"",COUNTIF($B$2:B814,"&gt;0"))</f>
        <v>813</v>
      </c>
      <c r="D814" s="34">
        <f t="shared" ca="1" si="12"/>
        <v>0</v>
      </c>
    </row>
    <row r="815" spans="1:4" x14ac:dyDescent="0.4">
      <c r="A815" s="79">
        <f>'Trial Balance Dump'!B819</f>
        <v>0</v>
      </c>
      <c r="B815" s="34" cm="1">
        <f t="array" aca="1" ref="B815" ca="1">IFERROR(SEARCH(INDIRECT(CELL("address")),A815),0)</f>
        <v>1</v>
      </c>
      <c r="C815" s="34">
        <f ca="1">IF(B815=0,"",COUNTIF($B$2:B815,"&gt;0"))</f>
        <v>814</v>
      </c>
      <c r="D815" s="34">
        <f t="shared" ca="1" si="12"/>
        <v>0</v>
      </c>
    </row>
    <row r="816" spans="1:4" x14ac:dyDescent="0.4">
      <c r="A816" s="79">
        <f>'Trial Balance Dump'!B820</f>
        <v>0</v>
      </c>
      <c r="B816" s="34" cm="1">
        <f t="array" aca="1" ref="B816" ca="1">IFERROR(SEARCH(INDIRECT(CELL("address")),A816),0)</f>
        <v>1</v>
      </c>
      <c r="C816" s="34">
        <f ca="1">IF(B816=0,"",COUNTIF($B$2:B816,"&gt;0"))</f>
        <v>815</v>
      </c>
      <c r="D816" s="34">
        <f t="shared" ca="1" si="12"/>
        <v>0</v>
      </c>
    </row>
    <row r="817" spans="1:4" x14ac:dyDescent="0.4">
      <c r="A817" s="79">
        <f>'Trial Balance Dump'!B821</f>
        <v>0</v>
      </c>
      <c r="B817" s="34" cm="1">
        <f t="array" aca="1" ref="B817" ca="1">IFERROR(SEARCH(INDIRECT(CELL("address")),A817),0)</f>
        <v>1</v>
      </c>
      <c r="C817" s="34">
        <f ca="1">IF(B817=0,"",COUNTIF($B$2:B817,"&gt;0"))</f>
        <v>816</v>
      </c>
      <c r="D817" s="34">
        <f t="shared" ca="1" si="12"/>
        <v>0</v>
      </c>
    </row>
    <row r="818" spans="1:4" x14ac:dyDescent="0.4">
      <c r="A818" s="79">
        <f>'Trial Balance Dump'!B822</f>
        <v>0</v>
      </c>
      <c r="B818" s="34" cm="1">
        <f t="array" aca="1" ref="B818" ca="1">IFERROR(SEARCH(INDIRECT(CELL("address")),A818),0)</f>
        <v>1</v>
      </c>
      <c r="C818" s="34">
        <f ca="1">IF(B818=0,"",COUNTIF($B$2:B818,"&gt;0"))</f>
        <v>817</v>
      </c>
      <c r="D818" s="34">
        <f t="shared" ca="1" si="12"/>
        <v>0</v>
      </c>
    </row>
    <row r="819" spans="1:4" x14ac:dyDescent="0.4">
      <c r="A819" s="79">
        <f>'Trial Balance Dump'!B823</f>
        <v>0</v>
      </c>
      <c r="B819" s="34" cm="1">
        <f t="array" aca="1" ref="B819" ca="1">IFERROR(SEARCH(INDIRECT(CELL("address")),A819),0)</f>
        <v>1</v>
      </c>
      <c r="C819" s="34">
        <f ca="1">IF(B819=0,"",COUNTIF($B$2:B819,"&gt;0"))</f>
        <v>818</v>
      </c>
      <c r="D819" s="34">
        <f t="shared" ca="1" si="12"/>
        <v>0</v>
      </c>
    </row>
    <row r="820" spans="1:4" x14ac:dyDescent="0.4">
      <c r="A820" s="79">
        <f>'Trial Balance Dump'!B824</f>
        <v>0</v>
      </c>
      <c r="B820" s="34" cm="1">
        <f t="array" aca="1" ref="B820" ca="1">IFERROR(SEARCH(INDIRECT(CELL("address")),A820),0)</f>
        <v>1</v>
      </c>
      <c r="C820" s="34">
        <f ca="1">IF(B820=0,"",COUNTIF($B$2:B820,"&gt;0"))</f>
        <v>819</v>
      </c>
      <c r="D820" s="34">
        <f t="shared" ca="1" si="12"/>
        <v>0</v>
      </c>
    </row>
    <row r="821" spans="1:4" x14ac:dyDescent="0.4">
      <c r="A821" s="79">
        <f>'Trial Balance Dump'!B825</f>
        <v>0</v>
      </c>
      <c r="B821" s="34" cm="1">
        <f t="array" aca="1" ref="B821" ca="1">IFERROR(SEARCH(INDIRECT(CELL("address")),A821),0)</f>
        <v>1</v>
      </c>
      <c r="C821" s="34">
        <f ca="1">IF(B821=0,"",COUNTIF($B$2:B821,"&gt;0"))</f>
        <v>820</v>
      </c>
      <c r="D821" s="34">
        <f t="shared" ca="1" si="12"/>
        <v>0</v>
      </c>
    </row>
    <row r="822" spans="1:4" x14ac:dyDescent="0.4">
      <c r="A822" s="79">
        <f>'Trial Balance Dump'!B826</f>
        <v>0</v>
      </c>
      <c r="B822" s="34" cm="1">
        <f t="array" aca="1" ref="B822" ca="1">IFERROR(SEARCH(INDIRECT(CELL("address")),A822),0)</f>
        <v>1</v>
      </c>
      <c r="C822" s="34">
        <f ca="1">IF(B822=0,"",COUNTIF($B$2:B822,"&gt;0"))</f>
        <v>821</v>
      </c>
      <c r="D822" s="34">
        <f t="shared" ca="1" si="12"/>
        <v>0</v>
      </c>
    </row>
    <row r="823" spans="1:4" x14ac:dyDescent="0.4">
      <c r="A823" s="79">
        <f>'Trial Balance Dump'!B827</f>
        <v>0</v>
      </c>
      <c r="B823" s="34" cm="1">
        <f t="array" aca="1" ref="B823" ca="1">IFERROR(SEARCH(INDIRECT(CELL("address")),A823),0)</f>
        <v>1</v>
      </c>
      <c r="C823" s="34">
        <f ca="1">IF(B823=0,"",COUNTIF($B$2:B823,"&gt;0"))</f>
        <v>822</v>
      </c>
      <c r="D823" s="34">
        <f t="shared" ca="1" si="12"/>
        <v>0</v>
      </c>
    </row>
    <row r="824" spans="1:4" x14ac:dyDescent="0.4">
      <c r="A824" s="79">
        <f>'Trial Balance Dump'!B828</f>
        <v>0</v>
      </c>
      <c r="B824" s="34" cm="1">
        <f t="array" aca="1" ref="B824" ca="1">IFERROR(SEARCH(INDIRECT(CELL("address")),A824),0)</f>
        <v>1</v>
      </c>
      <c r="C824" s="34">
        <f ca="1">IF(B824=0,"",COUNTIF($B$2:B824,"&gt;0"))</f>
        <v>823</v>
      </c>
      <c r="D824" s="34">
        <f t="shared" ca="1" si="12"/>
        <v>0</v>
      </c>
    </row>
    <row r="825" spans="1:4" x14ac:dyDescent="0.4">
      <c r="A825" s="79">
        <f>'Trial Balance Dump'!B829</f>
        <v>0</v>
      </c>
      <c r="B825" s="34" cm="1">
        <f t="array" aca="1" ref="B825" ca="1">IFERROR(SEARCH(INDIRECT(CELL("address")),A825),0)</f>
        <v>1</v>
      </c>
      <c r="C825" s="34">
        <f ca="1">IF(B825=0,"",COUNTIF($B$2:B825,"&gt;0"))</f>
        <v>824</v>
      </c>
      <c r="D825" s="34">
        <f t="shared" ca="1" si="12"/>
        <v>0</v>
      </c>
    </row>
    <row r="826" spans="1:4" x14ac:dyDescent="0.4">
      <c r="A826" s="79">
        <f>'Trial Balance Dump'!B830</f>
        <v>0</v>
      </c>
      <c r="B826" s="34" cm="1">
        <f t="array" aca="1" ref="B826" ca="1">IFERROR(SEARCH(INDIRECT(CELL("address")),A826),0)</f>
        <v>1</v>
      </c>
      <c r="C826" s="34">
        <f ca="1">IF(B826=0,"",COUNTIF($B$2:B826,"&gt;0"))</f>
        <v>825</v>
      </c>
      <c r="D826" s="34">
        <f t="shared" ca="1" si="12"/>
        <v>0</v>
      </c>
    </row>
    <row r="827" spans="1:4" x14ac:dyDescent="0.4">
      <c r="A827" s="79">
        <f>'Trial Balance Dump'!B831</f>
        <v>0</v>
      </c>
      <c r="B827" s="34" cm="1">
        <f t="array" aca="1" ref="B827" ca="1">IFERROR(SEARCH(INDIRECT(CELL("address")),A827),0)</f>
        <v>1</v>
      </c>
      <c r="C827" s="34">
        <f ca="1">IF(B827=0,"",COUNTIF($B$2:B827,"&gt;0"))</f>
        <v>826</v>
      </c>
      <c r="D827" s="34">
        <f t="shared" ca="1" si="12"/>
        <v>0</v>
      </c>
    </row>
    <row r="828" spans="1:4" x14ac:dyDescent="0.4">
      <c r="A828" s="79">
        <f>'Trial Balance Dump'!B832</f>
        <v>0</v>
      </c>
      <c r="B828" s="34" cm="1">
        <f t="array" aca="1" ref="B828" ca="1">IFERROR(SEARCH(INDIRECT(CELL("address")),A828),0)</f>
        <v>1</v>
      </c>
      <c r="C828" s="34">
        <f ca="1">IF(B828=0,"",COUNTIF($B$2:B828,"&gt;0"))</f>
        <v>827</v>
      </c>
      <c r="D828" s="34">
        <f t="shared" ca="1" si="12"/>
        <v>0</v>
      </c>
    </row>
    <row r="829" spans="1:4" x14ac:dyDescent="0.4">
      <c r="A829" s="79">
        <f>'Trial Balance Dump'!B833</f>
        <v>0</v>
      </c>
      <c r="B829" s="34" cm="1">
        <f t="array" aca="1" ref="B829" ca="1">IFERROR(SEARCH(INDIRECT(CELL("address")),A829),0)</f>
        <v>1</v>
      </c>
      <c r="C829" s="34">
        <f ca="1">IF(B829=0,"",COUNTIF($B$2:B829,"&gt;0"))</f>
        <v>828</v>
      </c>
      <c r="D829" s="34">
        <f t="shared" ca="1" si="12"/>
        <v>0</v>
      </c>
    </row>
    <row r="830" spans="1:4" x14ac:dyDescent="0.4">
      <c r="A830" s="79">
        <f>'Trial Balance Dump'!B834</f>
        <v>0</v>
      </c>
      <c r="B830" s="34" cm="1">
        <f t="array" aca="1" ref="B830" ca="1">IFERROR(SEARCH(INDIRECT(CELL("address")),A830),0)</f>
        <v>1</v>
      </c>
      <c r="C830" s="34">
        <f ca="1">IF(B830=0,"",COUNTIF($B$2:B830,"&gt;0"))</f>
        <v>829</v>
      </c>
      <c r="D830" s="34">
        <f t="shared" ca="1" si="12"/>
        <v>0</v>
      </c>
    </row>
    <row r="831" spans="1:4" x14ac:dyDescent="0.4">
      <c r="A831" s="79">
        <f>'Trial Balance Dump'!B835</f>
        <v>0</v>
      </c>
      <c r="B831" s="34" cm="1">
        <f t="array" aca="1" ref="B831" ca="1">IFERROR(SEARCH(INDIRECT(CELL("address")),A831),0)</f>
        <v>1</v>
      </c>
      <c r="C831" s="34">
        <f ca="1">IF(B831=0,"",COUNTIF($B$2:B831,"&gt;0"))</f>
        <v>830</v>
      </c>
      <c r="D831" s="34">
        <f t="shared" ca="1" si="12"/>
        <v>0</v>
      </c>
    </row>
    <row r="832" spans="1:4" x14ac:dyDescent="0.4">
      <c r="A832" s="79">
        <f>'Trial Balance Dump'!B836</f>
        <v>0</v>
      </c>
      <c r="B832" s="34" cm="1">
        <f t="array" aca="1" ref="B832" ca="1">IFERROR(SEARCH(INDIRECT(CELL("address")),A832),0)</f>
        <v>1</v>
      </c>
      <c r="C832" s="34">
        <f ca="1">IF(B832=0,"",COUNTIF($B$2:B832,"&gt;0"))</f>
        <v>831</v>
      </c>
      <c r="D832" s="34">
        <f t="shared" ca="1" si="12"/>
        <v>0</v>
      </c>
    </row>
    <row r="833" spans="1:4" x14ac:dyDescent="0.4">
      <c r="A833" s="79">
        <f>'Trial Balance Dump'!B837</f>
        <v>0</v>
      </c>
      <c r="B833" s="34" cm="1">
        <f t="array" aca="1" ref="B833" ca="1">IFERROR(SEARCH(INDIRECT(CELL("address")),A833),0)</f>
        <v>1</v>
      </c>
      <c r="C833" s="34">
        <f ca="1">IF(B833=0,"",COUNTIF($B$2:B833,"&gt;0"))</f>
        <v>832</v>
      </c>
      <c r="D833" s="34">
        <f t="shared" ca="1" si="12"/>
        <v>0</v>
      </c>
    </row>
    <row r="834" spans="1:4" x14ac:dyDescent="0.4">
      <c r="A834" s="79">
        <f>'Trial Balance Dump'!B838</f>
        <v>0</v>
      </c>
      <c r="B834" s="34" cm="1">
        <f t="array" aca="1" ref="B834" ca="1">IFERROR(SEARCH(INDIRECT(CELL("address")),A834),0)</f>
        <v>1</v>
      </c>
      <c r="C834" s="34">
        <f ca="1">IF(B834=0,"",COUNTIF($B$2:B834,"&gt;0"))</f>
        <v>833</v>
      </c>
      <c r="D834" s="34">
        <f t="shared" ca="1" si="12"/>
        <v>0</v>
      </c>
    </row>
    <row r="835" spans="1:4" x14ac:dyDescent="0.4">
      <c r="A835" s="79">
        <f>'Trial Balance Dump'!B839</f>
        <v>0</v>
      </c>
      <c r="B835" s="34" cm="1">
        <f t="array" aca="1" ref="B835" ca="1">IFERROR(SEARCH(INDIRECT(CELL("address")),A835),0)</f>
        <v>1</v>
      </c>
      <c r="C835" s="34">
        <f ca="1">IF(B835=0,"",COUNTIF($B$2:B835,"&gt;0"))</f>
        <v>834</v>
      </c>
      <c r="D835" s="34">
        <f t="shared" ref="D835:D898" ca="1" si="13">IFERROR(INDEX(A:A,MATCH(ROW(B834),C:C,0)),"")</f>
        <v>0</v>
      </c>
    </row>
    <row r="836" spans="1:4" x14ac:dyDescent="0.4">
      <c r="A836" s="79">
        <f>'Trial Balance Dump'!B840</f>
        <v>0</v>
      </c>
      <c r="B836" s="34" cm="1">
        <f t="array" aca="1" ref="B836" ca="1">IFERROR(SEARCH(INDIRECT(CELL("address")),A836),0)</f>
        <v>1</v>
      </c>
      <c r="C836" s="34">
        <f ca="1">IF(B836=0,"",COUNTIF($B$2:B836,"&gt;0"))</f>
        <v>835</v>
      </c>
      <c r="D836" s="34">
        <f t="shared" ca="1" si="13"/>
        <v>0</v>
      </c>
    </row>
    <row r="837" spans="1:4" x14ac:dyDescent="0.4">
      <c r="A837" s="79">
        <f>'Trial Balance Dump'!B841</f>
        <v>0</v>
      </c>
      <c r="B837" s="34" cm="1">
        <f t="array" aca="1" ref="B837" ca="1">IFERROR(SEARCH(INDIRECT(CELL("address")),A837),0)</f>
        <v>1</v>
      </c>
      <c r="C837" s="34">
        <f ca="1">IF(B837=0,"",COUNTIF($B$2:B837,"&gt;0"))</f>
        <v>836</v>
      </c>
      <c r="D837" s="34">
        <f t="shared" ca="1" si="13"/>
        <v>0</v>
      </c>
    </row>
    <row r="838" spans="1:4" x14ac:dyDescent="0.4">
      <c r="A838" s="79">
        <f>'Trial Balance Dump'!B842</f>
        <v>0</v>
      </c>
      <c r="B838" s="34" cm="1">
        <f t="array" aca="1" ref="B838" ca="1">IFERROR(SEARCH(INDIRECT(CELL("address")),A838),0)</f>
        <v>1</v>
      </c>
      <c r="C838" s="34">
        <f ca="1">IF(B838=0,"",COUNTIF($B$2:B838,"&gt;0"))</f>
        <v>837</v>
      </c>
      <c r="D838" s="34">
        <f t="shared" ca="1" si="13"/>
        <v>0</v>
      </c>
    </row>
    <row r="839" spans="1:4" x14ac:dyDescent="0.4">
      <c r="A839" s="79">
        <f>'Trial Balance Dump'!B843</f>
        <v>0</v>
      </c>
      <c r="B839" s="34" cm="1">
        <f t="array" aca="1" ref="B839" ca="1">IFERROR(SEARCH(INDIRECT(CELL("address")),A839),0)</f>
        <v>1</v>
      </c>
      <c r="C839" s="34">
        <f ca="1">IF(B839=0,"",COUNTIF($B$2:B839,"&gt;0"))</f>
        <v>838</v>
      </c>
      <c r="D839" s="34">
        <f t="shared" ca="1" si="13"/>
        <v>0</v>
      </c>
    </row>
    <row r="840" spans="1:4" x14ac:dyDescent="0.4">
      <c r="A840" s="79">
        <f>'Trial Balance Dump'!B844</f>
        <v>0</v>
      </c>
      <c r="B840" s="34" cm="1">
        <f t="array" aca="1" ref="B840" ca="1">IFERROR(SEARCH(INDIRECT(CELL("address")),A840),0)</f>
        <v>1</v>
      </c>
      <c r="C840" s="34">
        <f ca="1">IF(B840=0,"",COUNTIF($B$2:B840,"&gt;0"))</f>
        <v>839</v>
      </c>
      <c r="D840" s="34">
        <f t="shared" ca="1" si="13"/>
        <v>0</v>
      </c>
    </row>
    <row r="841" spans="1:4" x14ac:dyDescent="0.4">
      <c r="A841" s="79">
        <f>'Trial Balance Dump'!B845</f>
        <v>0</v>
      </c>
      <c r="B841" s="34" cm="1">
        <f t="array" aca="1" ref="B841" ca="1">IFERROR(SEARCH(INDIRECT(CELL("address")),A841),0)</f>
        <v>1</v>
      </c>
      <c r="C841" s="34">
        <f ca="1">IF(B841=0,"",COUNTIF($B$2:B841,"&gt;0"))</f>
        <v>840</v>
      </c>
      <c r="D841" s="34">
        <f t="shared" ca="1" si="13"/>
        <v>0</v>
      </c>
    </row>
    <row r="842" spans="1:4" x14ac:dyDescent="0.4">
      <c r="A842" s="79">
        <f>'Trial Balance Dump'!B846</f>
        <v>0</v>
      </c>
      <c r="B842" s="34" cm="1">
        <f t="array" aca="1" ref="B842" ca="1">IFERROR(SEARCH(INDIRECT(CELL("address")),A842),0)</f>
        <v>1</v>
      </c>
      <c r="C842" s="34">
        <f ca="1">IF(B842=0,"",COUNTIF($B$2:B842,"&gt;0"))</f>
        <v>841</v>
      </c>
      <c r="D842" s="34">
        <f t="shared" ca="1" si="13"/>
        <v>0</v>
      </c>
    </row>
    <row r="843" spans="1:4" x14ac:dyDescent="0.4">
      <c r="A843" s="79">
        <f>'Trial Balance Dump'!B847</f>
        <v>0</v>
      </c>
      <c r="B843" s="34" cm="1">
        <f t="array" aca="1" ref="B843" ca="1">IFERROR(SEARCH(INDIRECT(CELL("address")),A843),0)</f>
        <v>1</v>
      </c>
      <c r="C843" s="34">
        <f ca="1">IF(B843=0,"",COUNTIF($B$2:B843,"&gt;0"))</f>
        <v>842</v>
      </c>
      <c r="D843" s="34">
        <f t="shared" ca="1" si="13"/>
        <v>0</v>
      </c>
    </row>
    <row r="844" spans="1:4" x14ac:dyDescent="0.4">
      <c r="A844" s="79">
        <f>'Trial Balance Dump'!B848</f>
        <v>0</v>
      </c>
      <c r="B844" s="34" cm="1">
        <f t="array" aca="1" ref="B844" ca="1">IFERROR(SEARCH(INDIRECT(CELL("address")),A844),0)</f>
        <v>1</v>
      </c>
      <c r="C844" s="34">
        <f ca="1">IF(B844=0,"",COUNTIF($B$2:B844,"&gt;0"))</f>
        <v>843</v>
      </c>
      <c r="D844" s="34">
        <f t="shared" ca="1" si="13"/>
        <v>0</v>
      </c>
    </row>
    <row r="845" spans="1:4" x14ac:dyDescent="0.4">
      <c r="A845" s="79">
        <f>'Trial Balance Dump'!B849</f>
        <v>0</v>
      </c>
      <c r="B845" s="34" cm="1">
        <f t="array" aca="1" ref="B845" ca="1">IFERROR(SEARCH(INDIRECT(CELL("address")),A845),0)</f>
        <v>1</v>
      </c>
      <c r="C845" s="34">
        <f ca="1">IF(B845=0,"",COUNTIF($B$2:B845,"&gt;0"))</f>
        <v>844</v>
      </c>
      <c r="D845" s="34">
        <f t="shared" ca="1" si="13"/>
        <v>0</v>
      </c>
    </row>
    <row r="846" spans="1:4" x14ac:dyDescent="0.4">
      <c r="A846" s="79">
        <f>'Trial Balance Dump'!B850</f>
        <v>0</v>
      </c>
      <c r="B846" s="34" cm="1">
        <f t="array" aca="1" ref="B846" ca="1">IFERROR(SEARCH(INDIRECT(CELL("address")),A846),0)</f>
        <v>1</v>
      </c>
      <c r="C846" s="34">
        <f ca="1">IF(B846=0,"",COUNTIF($B$2:B846,"&gt;0"))</f>
        <v>845</v>
      </c>
      <c r="D846" s="34">
        <f t="shared" ca="1" si="13"/>
        <v>0</v>
      </c>
    </row>
    <row r="847" spans="1:4" x14ac:dyDescent="0.4">
      <c r="A847" s="79">
        <f>'Trial Balance Dump'!B851</f>
        <v>0</v>
      </c>
      <c r="B847" s="34" cm="1">
        <f t="array" aca="1" ref="B847" ca="1">IFERROR(SEARCH(INDIRECT(CELL("address")),A847),0)</f>
        <v>1</v>
      </c>
      <c r="C847" s="34">
        <f ca="1">IF(B847=0,"",COUNTIF($B$2:B847,"&gt;0"))</f>
        <v>846</v>
      </c>
      <c r="D847" s="34">
        <f t="shared" ca="1" si="13"/>
        <v>0</v>
      </c>
    </row>
    <row r="848" spans="1:4" x14ac:dyDescent="0.4">
      <c r="A848" s="79">
        <f>'Trial Balance Dump'!B852</f>
        <v>0</v>
      </c>
      <c r="B848" s="34" cm="1">
        <f t="array" aca="1" ref="B848" ca="1">IFERROR(SEARCH(INDIRECT(CELL("address")),A848),0)</f>
        <v>1</v>
      </c>
      <c r="C848" s="34">
        <f ca="1">IF(B848=0,"",COUNTIF($B$2:B848,"&gt;0"))</f>
        <v>847</v>
      </c>
      <c r="D848" s="34">
        <f t="shared" ca="1" si="13"/>
        <v>0</v>
      </c>
    </row>
    <row r="849" spans="1:4" x14ac:dyDescent="0.4">
      <c r="A849" s="79">
        <f>'Trial Balance Dump'!B853</f>
        <v>0</v>
      </c>
      <c r="B849" s="34" cm="1">
        <f t="array" aca="1" ref="B849" ca="1">IFERROR(SEARCH(INDIRECT(CELL("address")),A849),0)</f>
        <v>1</v>
      </c>
      <c r="C849" s="34">
        <f ca="1">IF(B849=0,"",COUNTIF($B$2:B849,"&gt;0"))</f>
        <v>848</v>
      </c>
      <c r="D849" s="34">
        <f t="shared" ca="1" si="13"/>
        <v>0</v>
      </c>
    </row>
    <row r="850" spans="1:4" x14ac:dyDescent="0.4">
      <c r="A850" s="79">
        <f>'Trial Balance Dump'!B854</f>
        <v>0</v>
      </c>
      <c r="B850" s="34" cm="1">
        <f t="array" aca="1" ref="B850" ca="1">IFERROR(SEARCH(INDIRECT(CELL("address")),A850),0)</f>
        <v>1</v>
      </c>
      <c r="C850" s="34">
        <f ca="1">IF(B850=0,"",COUNTIF($B$2:B850,"&gt;0"))</f>
        <v>849</v>
      </c>
      <c r="D850" s="34">
        <f t="shared" ca="1" si="13"/>
        <v>0</v>
      </c>
    </row>
    <row r="851" spans="1:4" x14ac:dyDescent="0.4">
      <c r="A851" s="79">
        <f>'Trial Balance Dump'!B855</f>
        <v>0</v>
      </c>
      <c r="B851" s="34" cm="1">
        <f t="array" aca="1" ref="B851" ca="1">IFERROR(SEARCH(INDIRECT(CELL("address")),A851),0)</f>
        <v>1</v>
      </c>
      <c r="C851" s="34">
        <f ca="1">IF(B851=0,"",COUNTIF($B$2:B851,"&gt;0"))</f>
        <v>850</v>
      </c>
      <c r="D851" s="34">
        <f t="shared" ca="1" si="13"/>
        <v>0</v>
      </c>
    </row>
    <row r="852" spans="1:4" x14ac:dyDescent="0.4">
      <c r="A852" s="79">
        <f>'Trial Balance Dump'!B856</f>
        <v>0</v>
      </c>
      <c r="B852" s="34" cm="1">
        <f t="array" aca="1" ref="B852" ca="1">IFERROR(SEARCH(INDIRECT(CELL("address")),A852),0)</f>
        <v>1</v>
      </c>
      <c r="C852" s="34">
        <f ca="1">IF(B852=0,"",COUNTIF($B$2:B852,"&gt;0"))</f>
        <v>851</v>
      </c>
      <c r="D852" s="34">
        <f t="shared" ca="1" si="13"/>
        <v>0</v>
      </c>
    </row>
    <row r="853" spans="1:4" x14ac:dyDescent="0.4">
      <c r="A853" s="79">
        <f>'Trial Balance Dump'!B857</f>
        <v>0</v>
      </c>
      <c r="B853" s="34" cm="1">
        <f t="array" aca="1" ref="B853" ca="1">IFERROR(SEARCH(INDIRECT(CELL("address")),A853),0)</f>
        <v>1</v>
      </c>
      <c r="C853" s="34">
        <f ca="1">IF(B853=0,"",COUNTIF($B$2:B853,"&gt;0"))</f>
        <v>852</v>
      </c>
      <c r="D853" s="34">
        <f t="shared" ca="1" si="13"/>
        <v>0</v>
      </c>
    </row>
    <row r="854" spans="1:4" x14ac:dyDescent="0.4">
      <c r="A854" s="79">
        <f>'Trial Balance Dump'!B858</f>
        <v>0</v>
      </c>
      <c r="B854" s="34" cm="1">
        <f t="array" aca="1" ref="B854" ca="1">IFERROR(SEARCH(INDIRECT(CELL("address")),A854),0)</f>
        <v>1</v>
      </c>
      <c r="C854" s="34">
        <f ca="1">IF(B854=0,"",COUNTIF($B$2:B854,"&gt;0"))</f>
        <v>853</v>
      </c>
      <c r="D854" s="34">
        <f t="shared" ca="1" si="13"/>
        <v>0</v>
      </c>
    </row>
    <row r="855" spans="1:4" x14ac:dyDescent="0.4">
      <c r="A855" s="79">
        <f>'Trial Balance Dump'!B859</f>
        <v>0</v>
      </c>
      <c r="B855" s="34" cm="1">
        <f t="array" aca="1" ref="B855" ca="1">IFERROR(SEARCH(INDIRECT(CELL("address")),A855),0)</f>
        <v>1</v>
      </c>
      <c r="C855" s="34">
        <f ca="1">IF(B855=0,"",COUNTIF($B$2:B855,"&gt;0"))</f>
        <v>854</v>
      </c>
      <c r="D855" s="34">
        <f t="shared" ca="1" si="13"/>
        <v>0</v>
      </c>
    </row>
    <row r="856" spans="1:4" x14ac:dyDescent="0.4">
      <c r="A856" s="79">
        <f>'Trial Balance Dump'!B860</f>
        <v>0</v>
      </c>
      <c r="B856" s="34" cm="1">
        <f t="array" aca="1" ref="B856" ca="1">IFERROR(SEARCH(INDIRECT(CELL("address")),A856),0)</f>
        <v>1</v>
      </c>
      <c r="C856" s="34">
        <f ca="1">IF(B856=0,"",COUNTIF($B$2:B856,"&gt;0"))</f>
        <v>855</v>
      </c>
      <c r="D856" s="34">
        <f t="shared" ca="1" si="13"/>
        <v>0</v>
      </c>
    </row>
    <row r="857" spans="1:4" x14ac:dyDescent="0.4">
      <c r="A857" s="79">
        <f>'Trial Balance Dump'!B861</f>
        <v>0</v>
      </c>
      <c r="B857" s="34" cm="1">
        <f t="array" aca="1" ref="B857" ca="1">IFERROR(SEARCH(INDIRECT(CELL("address")),A857),0)</f>
        <v>1</v>
      </c>
      <c r="C857" s="34">
        <f ca="1">IF(B857=0,"",COUNTIF($B$2:B857,"&gt;0"))</f>
        <v>856</v>
      </c>
      <c r="D857" s="34">
        <f t="shared" ca="1" si="13"/>
        <v>0</v>
      </c>
    </row>
    <row r="858" spans="1:4" x14ac:dyDescent="0.4">
      <c r="A858" s="79">
        <f>'Trial Balance Dump'!B862</f>
        <v>0</v>
      </c>
      <c r="B858" s="34" cm="1">
        <f t="array" aca="1" ref="B858" ca="1">IFERROR(SEARCH(INDIRECT(CELL("address")),A858),0)</f>
        <v>1</v>
      </c>
      <c r="C858" s="34">
        <f ca="1">IF(B858=0,"",COUNTIF($B$2:B858,"&gt;0"))</f>
        <v>857</v>
      </c>
      <c r="D858" s="34">
        <f t="shared" ca="1" si="13"/>
        <v>0</v>
      </c>
    </row>
    <row r="859" spans="1:4" x14ac:dyDescent="0.4">
      <c r="A859" s="79">
        <f>'Trial Balance Dump'!B863</f>
        <v>0</v>
      </c>
      <c r="B859" s="34" cm="1">
        <f t="array" aca="1" ref="B859" ca="1">IFERROR(SEARCH(INDIRECT(CELL("address")),A859),0)</f>
        <v>1</v>
      </c>
      <c r="C859" s="34">
        <f ca="1">IF(B859=0,"",COUNTIF($B$2:B859,"&gt;0"))</f>
        <v>858</v>
      </c>
      <c r="D859" s="34">
        <f t="shared" ca="1" si="13"/>
        <v>0</v>
      </c>
    </row>
    <row r="860" spans="1:4" x14ac:dyDescent="0.4">
      <c r="A860" s="79">
        <f>'Trial Balance Dump'!B864</f>
        <v>0</v>
      </c>
      <c r="B860" s="34" cm="1">
        <f t="array" aca="1" ref="B860" ca="1">IFERROR(SEARCH(INDIRECT(CELL("address")),A860),0)</f>
        <v>1</v>
      </c>
      <c r="C860" s="34">
        <f ca="1">IF(B860=0,"",COUNTIF($B$2:B860,"&gt;0"))</f>
        <v>859</v>
      </c>
      <c r="D860" s="34">
        <f t="shared" ca="1" si="13"/>
        <v>0</v>
      </c>
    </row>
    <row r="861" spans="1:4" x14ac:dyDescent="0.4">
      <c r="A861" s="79">
        <f>'Trial Balance Dump'!B865</f>
        <v>0</v>
      </c>
      <c r="B861" s="34" cm="1">
        <f t="array" aca="1" ref="B861" ca="1">IFERROR(SEARCH(INDIRECT(CELL("address")),A861),0)</f>
        <v>1</v>
      </c>
      <c r="C861" s="34">
        <f ca="1">IF(B861=0,"",COUNTIF($B$2:B861,"&gt;0"))</f>
        <v>860</v>
      </c>
      <c r="D861" s="34">
        <f t="shared" ca="1" si="13"/>
        <v>0</v>
      </c>
    </row>
    <row r="862" spans="1:4" x14ac:dyDescent="0.4">
      <c r="A862" s="79">
        <f>'Trial Balance Dump'!B866</f>
        <v>0</v>
      </c>
      <c r="B862" s="34" cm="1">
        <f t="array" aca="1" ref="B862" ca="1">IFERROR(SEARCH(INDIRECT(CELL("address")),A862),0)</f>
        <v>1</v>
      </c>
      <c r="C862" s="34">
        <f ca="1">IF(B862=0,"",COUNTIF($B$2:B862,"&gt;0"))</f>
        <v>861</v>
      </c>
      <c r="D862" s="34">
        <f t="shared" ca="1" si="13"/>
        <v>0</v>
      </c>
    </row>
    <row r="863" spans="1:4" x14ac:dyDescent="0.4">
      <c r="A863" s="79">
        <f>'Trial Balance Dump'!B867</f>
        <v>0</v>
      </c>
      <c r="B863" s="34" cm="1">
        <f t="array" aca="1" ref="B863" ca="1">IFERROR(SEARCH(INDIRECT(CELL("address")),A863),0)</f>
        <v>1</v>
      </c>
      <c r="C863" s="34">
        <f ca="1">IF(B863=0,"",COUNTIF($B$2:B863,"&gt;0"))</f>
        <v>862</v>
      </c>
      <c r="D863" s="34">
        <f t="shared" ca="1" si="13"/>
        <v>0</v>
      </c>
    </row>
    <row r="864" spans="1:4" x14ac:dyDescent="0.4">
      <c r="A864" s="79">
        <f>'Trial Balance Dump'!B868</f>
        <v>0</v>
      </c>
      <c r="B864" s="34" cm="1">
        <f t="array" aca="1" ref="B864" ca="1">IFERROR(SEARCH(INDIRECT(CELL("address")),A864),0)</f>
        <v>1</v>
      </c>
      <c r="C864" s="34">
        <f ca="1">IF(B864=0,"",COUNTIF($B$2:B864,"&gt;0"))</f>
        <v>863</v>
      </c>
      <c r="D864" s="34">
        <f t="shared" ca="1" si="13"/>
        <v>0</v>
      </c>
    </row>
    <row r="865" spans="1:4" x14ac:dyDescent="0.4">
      <c r="A865" s="79">
        <f>'Trial Balance Dump'!B869</f>
        <v>0</v>
      </c>
      <c r="B865" s="34" cm="1">
        <f t="array" aca="1" ref="B865" ca="1">IFERROR(SEARCH(INDIRECT(CELL("address")),A865),0)</f>
        <v>1</v>
      </c>
      <c r="C865" s="34">
        <f ca="1">IF(B865=0,"",COUNTIF($B$2:B865,"&gt;0"))</f>
        <v>864</v>
      </c>
      <c r="D865" s="34">
        <f t="shared" ca="1" si="13"/>
        <v>0</v>
      </c>
    </row>
    <row r="866" spans="1:4" x14ac:dyDescent="0.4">
      <c r="A866" s="79">
        <f>'Trial Balance Dump'!B870</f>
        <v>0</v>
      </c>
      <c r="B866" s="34" cm="1">
        <f t="array" aca="1" ref="B866" ca="1">IFERROR(SEARCH(INDIRECT(CELL("address")),A866),0)</f>
        <v>1</v>
      </c>
      <c r="C866" s="34">
        <f ca="1">IF(B866=0,"",COUNTIF($B$2:B866,"&gt;0"))</f>
        <v>865</v>
      </c>
      <c r="D866" s="34">
        <f t="shared" ca="1" si="13"/>
        <v>0</v>
      </c>
    </row>
    <row r="867" spans="1:4" x14ac:dyDescent="0.4">
      <c r="A867" s="79">
        <f>'Trial Balance Dump'!B871</f>
        <v>0</v>
      </c>
      <c r="B867" s="34" cm="1">
        <f t="array" aca="1" ref="B867" ca="1">IFERROR(SEARCH(INDIRECT(CELL("address")),A867),0)</f>
        <v>1</v>
      </c>
      <c r="C867" s="34">
        <f ca="1">IF(B867=0,"",COUNTIF($B$2:B867,"&gt;0"))</f>
        <v>866</v>
      </c>
      <c r="D867" s="34">
        <f t="shared" ca="1" si="13"/>
        <v>0</v>
      </c>
    </row>
    <row r="868" spans="1:4" x14ac:dyDescent="0.4">
      <c r="A868" s="79">
        <f>'Trial Balance Dump'!B872</f>
        <v>0</v>
      </c>
      <c r="B868" s="34" cm="1">
        <f t="array" aca="1" ref="B868" ca="1">IFERROR(SEARCH(INDIRECT(CELL("address")),A868),0)</f>
        <v>1</v>
      </c>
      <c r="C868" s="34">
        <f ca="1">IF(B868=0,"",COUNTIF($B$2:B868,"&gt;0"))</f>
        <v>867</v>
      </c>
      <c r="D868" s="34">
        <f t="shared" ca="1" si="13"/>
        <v>0</v>
      </c>
    </row>
    <row r="869" spans="1:4" x14ac:dyDescent="0.4">
      <c r="A869" s="79">
        <f>'Trial Balance Dump'!B873</f>
        <v>0</v>
      </c>
      <c r="B869" s="34" cm="1">
        <f t="array" aca="1" ref="B869" ca="1">IFERROR(SEARCH(INDIRECT(CELL("address")),A869),0)</f>
        <v>1</v>
      </c>
      <c r="C869" s="34">
        <f ca="1">IF(B869=0,"",COUNTIF($B$2:B869,"&gt;0"))</f>
        <v>868</v>
      </c>
      <c r="D869" s="34">
        <f t="shared" ca="1" si="13"/>
        <v>0</v>
      </c>
    </row>
    <row r="870" spans="1:4" x14ac:dyDescent="0.4">
      <c r="A870" s="79">
        <f>'Trial Balance Dump'!B874</f>
        <v>0</v>
      </c>
      <c r="B870" s="34" cm="1">
        <f t="array" aca="1" ref="B870" ca="1">IFERROR(SEARCH(INDIRECT(CELL("address")),A870),0)</f>
        <v>1</v>
      </c>
      <c r="C870" s="34">
        <f ca="1">IF(B870=0,"",COUNTIF($B$2:B870,"&gt;0"))</f>
        <v>869</v>
      </c>
      <c r="D870" s="34">
        <f t="shared" ca="1" si="13"/>
        <v>0</v>
      </c>
    </row>
    <row r="871" spans="1:4" x14ac:dyDescent="0.4">
      <c r="A871" s="79">
        <f>'Trial Balance Dump'!B875</f>
        <v>0</v>
      </c>
      <c r="B871" s="34" cm="1">
        <f t="array" aca="1" ref="B871" ca="1">IFERROR(SEARCH(INDIRECT(CELL("address")),A871),0)</f>
        <v>1</v>
      </c>
      <c r="C871" s="34">
        <f ca="1">IF(B871=0,"",COUNTIF($B$2:B871,"&gt;0"))</f>
        <v>870</v>
      </c>
      <c r="D871" s="34">
        <f t="shared" ca="1" si="13"/>
        <v>0</v>
      </c>
    </row>
    <row r="872" spans="1:4" x14ac:dyDescent="0.4">
      <c r="A872" s="79">
        <f>'Trial Balance Dump'!B876</f>
        <v>0</v>
      </c>
      <c r="B872" s="34" cm="1">
        <f t="array" aca="1" ref="B872" ca="1">IFERROR(SEARCH(INDIRECT(CELL("address")),A872),0)</f>
        <v>1</v>
      </c>
      <c r="C872" s="34">
        <f ca="1">IF(B872=0,"",COUNTIF($B$2:B872,"&gt;0"))</f>
        <v>871</v>
      </c>
      <c r="D872" s="34">
        <f t="shared" ca="1" si="13"/>
        <v>0</v>
      </c>
    </row>
    <row r="873" spans="1:4" x14ac:dyDescent="0.4">
      <c r="A873" s="79">
        <f>'Trial Balance Dump'!B877</f>
        <v>0</v>
      </c>
      <c r="B873" s="34" cm="1">
        <f t="array" aca="1" ref="B873" ca="1">IFERROR(SEARCH(INDIRECT(CELL("address")),A873),0)</f>
        <v>1</v>
      </c>
      <c r="C873" s="34">
        <f ca="1">IF(B873=0,"",COUNTIF($B$2:B873,"&gt;0"))</f>
        <v>872</v>
      </c>
      <c r="D873" s="34">
        <f t="shared" ca="1" si="13"/>
        <v>0</v>
      </c>
    </row>
    <row r="874" spans="1:4" x14ac:dyDescent="0.4">
      <c r="A874" s="79">
        <f>'Trial Balance Dump'!B878</f>
        <v>0</v>
      </c>
      <c r="B874" s="34" cm="1">
        <f t="array" aca="1" ref="B874" ca="1">IFERROR(SEARCH(INDIRECT(CELL("address")),A874),0)</f>
        <v>1</v>
      </c>
      <c r="C874" s="34">
        <f ca="1">IF(B874=0,"",COUNTIF($B$2:B874,"&gt;0"))</f>
        <v>873</v>
      </c>
      <c r="D874" s="34">
        <f t="shared" ca="1" si="13"/>
        <v>0</v>
      </c>
    </row>
    <row r="875" spans="1:4" x14ac:dyDescent="0.4">
      <c r="A875" s="79">
        <f>'Trial Balance Dump'!B879</f>
        <v>0</v>
      </c>
      <c r="B875" s="34" cm="1">
        <f t="array" aca="1" ref="B875" ca="1">IFERROR(SEARCH(INDIRECT(CELL("address")),A875),0)</f>
        <v>1</v>
      </c>
      <c r="C875" s="34">
        <f ca="1">IF(B875=0,"",COUNTIF($B$2:B875,"&gt;0"))</f>
        <v>874</v>
      </c>
      <c r="D875" s="34">
        <f t="shared" ca="1" si="13"/>
        <v>0</v>
      </c>
    </row>
    <row r="876" spans="1:4" x14ac:dyDescent="0.4">
      <c r="A876" s="79">
        <f>'Trial Balance Dump'!B880</f>
        <v>0</v>
      </c>
      <c r="B876" s="34" cm="1">
        <f t="array" aca="1" ref="B876" ca="1">IFERROR(SEARCH(INDIRECT(CELL("address")),A876),0)</f>
        <v>1</v>
      </c>
      <c r="C876" s="34">
        <f ca="1">IF(B876=0,"",COUNTIF($B$2:B876,"&gt;0"))</f>
        <v>875</v>
      </c>
      <c r="D876" s="34">
        <f t="shared" ca="1" si="13"/>
        <v>0</v>
      </c>
    </row>
    <row r="877" spans="1:4" x14ac:dyDescent="0.4">
      <c r="A877" s="79">
        <f>'Trial Balance Dump'!B881</f>
        <v>0</v>
      </c>
      <c r="B877" s="34" cm="1">
        <f t="array" aca="1" ref="B877" ca="1">IFERROR(SEARCH(INDIRECT(CELL("address")),A877),0)</f>
        <v>1</v>
      </c>
      <c r="C877" s="34">
        <f ca="1">IF(B877=0,"",COUNTIF($B$2:B877,"&gt;0"))</f>
        <v>876</v>
      </c>
      <c r="D877" s="34">
        <f t="shared" ca="1" si="13"/>
        <v>0</v>
      </c>
    </row>
    <row r="878" spans="1:4" x14ac:dyDescent="0.4">
      <c r="A878" s="79">
        <f>'Trial Balance Dump'!B882</f>
        <v>0</v>
      </c>
      <c r="B878" s="34" cm="1">
        <f t="array" aca="1" ref="B878" ca="1">IFERROR(SEARCH(INDIRECT(CELL("address")),A878),0)</f>
        <v>1</v>
      </c>
      <c r="C878" s="34">
        <f ca="1">IF(B878=0,"",COUNTIF($B$2:B878,"&gt;0"))</f>
        <v>877</v>
      </c>
      <c r="D878" s="34">
        <f t="shared" ca="1" si="13"/>
        <v>0</v>
      </c>
    </row>
    <row r="879" spans="1:4" x14ac:dyDescent="0.4">
      <c r="A879" s="79">
        <f>'Trial Balance Dump'!B883</f>
        <v>0</v>
      </c>
      <c r="B879" s="34" cm="1">
        <f t="array" aca="1" ref="B879" ca="1">IFERROR(SEARCH(INDIRECT(CELL("address")),A879),0)</f>
        <v>1</v>
      </c>
      <c r="C879" s="34">
        <f ca="1">IF(B879=0,"",COUNTIF($B$2:B879,"&gt;0"))</f>
        <v>878</v>
      </c>
      <c r="D879" s="34">
        <f t="shared" ca="1" si="13"/>
        <v>0</v>
      </c>
    </row>
    <row r="880" spans="1:4" x14ac:dyDescent="0.4">
      <c r="A880" s="79">
        <f>'Trial Balance Dump'!B884</f>
        <v>0</v>
      </c>
      <c r="B880" s="34" cm="1">
        <f t="array" aca="1" ref="B880" ca="1">IFERROR(SEARCH(INDIRECT(CELL("address")),A880),0)</f>
        <v>1</v>
      </c>
      <c r="C880" s="34">
        <f ca="1">IF(B880=0,"",COUNTIF($B$2:B880,"&gt;0"))</f>
        <v>879</v>
      </c>
      <c r="D880" s="34">
        <f t="shared" ca="1" si="13"/>
        <v>0</v>
      </c>
    </row>
    <row r="881" spans="1:4" x14ac:dyDescent="0.4">
      <c r="A881" s="79">
        <f>'Trial Balance Dump'!B885</f>
        <v>0</v>
      </c>
      <c r="B881" s="34" cm="1">
        <f t="array" aca="1" ref="B881" ca="1">IFERROR(SEARCH(INDIRECT(CELL("address")),A881),0)</f>
        <v>1</v>
      </c>
      <c r="C881" s="34">
        <f ca="1">IF(B881=0,"",COUNTIF($B$2:B881,"&gt;0"))</f>
        <v>880</v>
      </c>
      <c r="D881" s="34">
        <f t="shared" ca="1" si="13"/>
        <v>0</v>
      </c>
    </row>
    <row r="882" spans="1:4" x14ac:dyDescent="0.4">
      <c r="A882" s="79">
        <f>'Trial Balance Dump'!B886</f>
        <v>0</v>
      </c>
      <c r="B882" s="34" cm="1">
        <f t="array" aca="1" ref="B882" ca="1">IFERROR(SEARCH(INDIRECT(CELL("address")),A882),0)</f>
        <v>1</v>
      </c>
      <c r="C882" s="34">
        <f ca="1">IF(B882=0,"",COUNTIF($B$2:B882,"&gt;0"))</f>
        <v>881</v>
      </c>
      <c r="D882" s="34">
        <f t="shared" ca="1" si="13"/>
        <v>0</v>
      </c>
    </row>
    <row r="883" spans="1:4" x14ac:dyDescent="0.4">
      <c r="A883" s="79">
        <f>'Trial Balance Dump'!B887</f>
        <v>0</v>
      </c>
      <c r="B883" s="34" cm="1">
        <f t="array" aca="1" ref="B883" ca="1">IFERROR(SEARCH(INDIRECT(CELL("address")),A883),0)</f>
        <v>1</v>
      </c>
      <c r="C883" s="34">
        <f ca="1">IF(B883=0,"",COUNTIF($B$2:B883,"&gt;0"))</f>
        <v>882</v>
      </c>
      <c r="D883" s="34">
        <f t="shared" ca="1" si="13"/>
        <v>0</v>
      </c>
    </row>
    <row r="884" spans="1:4" x14ac:dyDescent="0.4">
      <c r="A884" s="79">
        <f>'Trial Balance Dump'!B888</f>
        <v>0</v>
      </c>
      <c r="B884" s="34" cm="1">
        <f t="array" aca="1" ref="B884" ca="1">IFERROR(SEARCH(INDIRECT(CELL("address")),A884),0)</f>
        <v>1</v>
      </c>
      <c r="C884" s="34">
        <f ca="1">IF(B884=0,"",COUNTIF($B$2:B884,"&gt;0"))</f>
        <v>883</v>
      </c>
      <c r="D884" s="34">
        <f t="shared" ca="1" si="13"/>
        <v>0</v>
      </c>
    </row>
    <row r="885" spans="1:4" x14ac:dyDescent="0.4">
      <c r="A885" s="79">
        <f>'Trial Balance Dump'!B889</f>
        <v>0</v>
      </c>
      <c r="B885" s="34" cm="1">
        <f t="array" aca="1" ref="B885" ca="1">IFERROR(SEARCH(INDIRECT(CELL("address")),A885),0)</f>
        <v>1</v>
      </c>
      <c r="C885" s="34">
        <f ca="1">IF(B885=0,"",COUNTIF($B$2:B885,"&gt;0"))</f>
        <v>884</v>
      </c>
      <c r="D885" s="34">
        <f t="shared" ca="1" si="13"/>
        <v>0</v>
      </c>
    </row>
    <row r="886" spans="1:4" x14ac:dyDescent="0.4">
      <c r="A886" s="79">
        <f>'Trial Balance Dump'!B890</f>
        <v>0</v>
      </c>
      <c r="B886" s="34" cm="1">
        <f t="array" aca="1" ref="B886" ca="1">IFERROR(SEARCH(INDIRECT(CELL("address")),A886),0)</f>
        <v>1</v>
      </c>
      <c r="C886" s="34">
        <f ca="1">IF(B886=0,"",COUNTIF($B$2:B886,"&gt;0"))</f>
        <v>885</v>
      </c>
      <c r="D886" s="34">
        <f t="shared" ca="1" si="13"/>
        <v>0</v>
      </c>
    </row>
    <row r="887" spans="1:4" x14ac:dyDescent="0.4">
      <c r="A887" s="79">
        <f>'Trial Balance Dump'!B891</f>
        <v>0</v>
      </c>
      <c r="B887" s="34" cm="1">
        <f t="array" aca="1" ref="B887" ca="1">IFERROR(SEARCH(INDIRECT(CELL("address")),A887),0)</f>
        <v>1</v>
      </c>
      <c r="C887" s="34">
        <f ca="1">IF(B887=0,"",COUNTIF($B$2:B887,"&gt;0"))</f>
        <v>886</v>
      </c>
      <c r="D887" s="34">
        <f t="shared" ca="1" si="13"/>
        <v>0</v>
      </c>
    </row>
    <row r="888" spans="1:4" x14ac:dyDescent="0.4">
      <c r="A888" s="79">
        <f>'Trial Balance Dump'!B892</f>
        <v>0</v>
      </c>
      <c r="B888" s="34" cm="1">
        <f t="array" aca="1" ref="B888" ca="1">IFERROR(SEARCH(INDIRECT(CELL("address")),A888),0)</f>
        <v>1</v>
      </c>
      <c r="C888" s="34">
        <f ca="1">IF(B888=0,"",COUNTIF($B$2:B888,"&gt;0"))</f>
        <v>887</v>
      </c>
      <c r="D888" s="34">
        <f t="shared" ca="1" si="13"/>
        <v>0</v>
      </c>
    </row>
    <row r="889" spans="1:4" x14ac:dyDescent="0.4">
      <c r="A889" s="79">
        <f>'Trial Balance Dump'!B893</f>
        <v>0</v>
      </c>
      <c r="B889" s="34" cm="1">
        <f t="array" aca="1" ref="B889" ca="1">IFERROR(SEARCH(INDIRECT(CELL("address")),A889),0)</f>
        <v>1</v>
      </c>
      <c r="C889" s="34">
        <f ca="1">IF(B889=0,"",COUNTIF($B$2:B889,"&gt;0"))</f>
        <v>888</v>
      </c>
      <c r="D889" s="34">
        <f t="shared" ca="1" si="13"/>
        <v>0</v>
      </c>
    </row>
    <row r="890" spans="1:4" x14ac:dyDescent="0.4">
      <c r="A890" s="79">
        <f>'Trial Balance Dump'!B894</f>
        <v>0</v>
      </c>
      <c r="B890" s="34" cm="1">
        <f t="array" aca="1" ref="B890" ca="1">IFERROR(SEARCH(INDIRECT(CELL("address")),A890),0)</f>
        <v>1</v>
      </c>
      <c r="C890" s="34">
        <f ca="1">IF(B890=0,"",COUNTIF($B$2:B890,"&gt;0"))</f>
        <v>889</v>
      </c>
      <c r="D890" s="34">
        <f t="shared" ca="1" si="13"/>
        <v>0</v>
      </c>
    </row>
    <row r="891" spans="1:4" x14ac:dyDescent="0.4">
      <c r="A891" s="79">
        <f>'Trial Balance Dump'!B895</f>
        <v>0</v>
      </c>
      <c r="B891" s="34" cm="1">
        <f t="array" aca="1" ref="B891" ca="1">IFERROR(SEARCH(INDIRECT(CELL("address")),A891),0)</f>
        <v>1</v>
      </c>
      <c r="C891" s="34">
        <f ca="1">IF(B891=0,"",COUNTIF($B$2:B891,"&gt;0"))</f>
        <v>890</v>
      </c>
      <c r="D891" s="34">
        <f t="shared" ca="1" si="13"/>
        <v>0</v>
      </c>
    </row>
    <row r="892" spans="1:4" x14ac:dyDescent="0.4">
      <c r="A892" s="79">
        <f>'Trial Balance Dump'!B896</f>
        <v>0</v>
      </c>
      <c r="B892" s="34" cm="1">
        <f t="array" aca="1" ref="B892" ca="1">IFERROR(SEARCH(INDIRECT(CELL("address")),A892),0)</f>
        <v>1</v>
      </c>
      <c r="C892" s="34">
        <f ca="1">IF(B892=0,"",COUNTIF($B$2:B892,"&gt;0"))</f>
        <v>891</v>
      </c>
      <c r="D892" s="34">
        <f t="shared" ca="1" si="13"/>
        <v>0</v>
      </c>
    </row>
    <row r="893" spans="1:4" x14ac:dyDescent="0.4">
      <c r="A893" s="79">
        <f>'Trial Balance Dump'!B897</f>
        <v>0</v>
      </c>
      <c r="B893" s="34" cm="1">
        <f t="array" aca="1" ref="B893" ca="1">IFERROR(SEARCH(INDIRECT(CELL("address")),A893),0)</f>
        <v>1</v>
      </c>
      <c r="C893" s="34">
        <f ca="1">IF(B893=0,"",COUNTIF($B$2:B893,"&gt;0"))</f>
        <v>892</v>
      </c>
      <c r="D893" s="34">
        <f t="shared" ca="1" si="13"/>
        <v>0</v>
      </c>
    </row>
    <row r="894" spans="1:4" x14ac:dyDescent="0.4">
      <c r="A894" s="79">
        <f>'Trial Balance Dump'!B898</f>
        <v>0</v>
      </c>
      <c r="B894" s="34" cm="1">
        <f t="array" aca="1" ref="B894" ca="1">IFERROR(SEARCH(INDIRECT(CELL("address")),A894),0)</f>
        <v>1</v>
      </c>
      <c r="C894" s="34">
        <f ca="1">IF(B894=0,"",COUNTIF($B$2:B894,"&gt;0"))</f>
        <v>893</v>
      </c>
      <c r="D894" s="34">
        <f t="shared" ca="1" si="13"/>
        <v>0</v>
      </c>
    </row>
    <row r="895" spans="1:4" x14ac:dyDescent="0.4">
      <c r="A895" s="79">
        <f>'Trial Balance Dump'!B899</f>
        <v>0</v>
      </c>
      <c r="B895" s="34" cm="1">
        <f t="array" aca="1" ref="B895" ca="1">IFERROR(SEARCH(INDIRECT(CELL("address")),A895),0)</f>
        <v>1</v>
      </c>
      <c r="C895" s="34">
        <f ca="1">IF(B895=0,"",COUNTIF($B$2:B895,"&gt;0"))</f>
        <v>894</v>
      </c>
      <c r="D895" s="34">
        <f t="shared" ca="1" si="13"/>
        <v>0</v>
      </c>
    </row>
    <row r="896" spans="1:4" x14ac:dyDescent="0.4">
      <c r="A896" s="79">
        <f>'Trial Balance Dump'!B900</f>
        <v>0</v>
      </c>
      <c r="B896" s="34" cm="1">
        <f t="array" aca="1" ref="B896" ca="1">IFERROR(SEARCH(INDIRECT(CELL("address")),A896),0)</f>
        <v>1</v>
      </c>
      <c r="C896" s="34">
        <f ca="1">IF(B896=0,"",COUNTIF($B$2:B896,"&gt;0"))</f>
        <v>895</v>
      </c>
      <c r="D896" s="34">
        <f t="shared" ca="1" si="13"/>
        <v>0</v>
      </c>
    </row>
    <row r="897" spans="1:4" x14ac:dyDescent="0.4">
      <c r="A897" s="79">
        <f>'Trial Balance Dump'!B901</f>
        <v>0</v>
      </c>
      <c r="B897" s="34" cm="1">
        <f t="array" aca="1" ref="B897" ca="1">IFERROR(SEARCH(INDIRECT(CELL("address")),A897),0)</f>
        <v>1</v>
      </c>
      <c r="C897" s="34">
        <f ca="1">IF(B897=0,"",COUNTIF($B$2:B897,"&gt;0"))</f>
        <v>896</v>
      </c>
      <c r="D897" s="34">
        <f t="shared" ca="1" si="13"/>
        <v>0</v>
      </c>
    </row>
    <row r="898" spans="1:4" x14ac:dyDescent="0.4">
      <c r="A898" s="79">
        <f>'Trial Balance Dump'!B902</f>
        <v>0</v>
      </c>
      <c r="B898" s="34" cm="1">
        <f t="array" aca="1" ref="B898" ca="1">IFERROR(SEARCH(INDIRECT(CELL("address")),A898),0)</f>
        <v>1</v>
      </c>
      <c r="C898" s="34">
        <f ca="1">IF(B898=0,"",COUNTIF($B$2:B898,"&gt;0"))</f>
        <v>897</v>
      </c>
      <c r="D898" s="34">
        <f t="shared" ca="1" si="13"/>
        <v>0</v>
      </c>
    </row>
    <row r="899" spans="1:4" x14ac:dyDescent="0.4">
      <c r="A899" s="79">
        <f>'Trial Balance Dump'!B903</f>
        <v>0</v>
      </c>
      <c r="B899" s="34" cm="1">
        <f t="array" aca="1" ref="B899" ca="1">IFERROR(SEARCH(INDIRECT(CELL("address")),A899),0)</f>
        <v>1</v>
      </c>
      <c r="C899" s="34">
        <f ca="1">IF(B899=0,"",COUNTIF($B$2:B899,"&gt;0"))</f>
        <v>898</v>
      </c>
      <c r="D899" s="34">
        <f t="shared" ref="D899:D962" ca="1" si="14">IFERROR(INDEX(A:A,MATCH(ROW(B898),C:C,0)),"")</f>
        <v>0</v>
      </c>
    </row>
    <row r="900" spans="1:4" x14ac:dyDescent="0.4">
      <c r="A900" s="79">
        <f>'Trial Balance Dump'!B904</f>
        <v>0</v>
      </c>
      <c r="B900" s="34" cm="1">
        <f t="array" aca="1" ref="B900" ca="1">IFERROR(SEARCH(INDIRECT(CELL("address")),A900),0)</f>
        <v>1</v>
      </c>
      <c r="C900" s="34">
        <f ca="1">IF(B900=0,"",COUNTIF($B$2:B900,"&gt;0"))</f>
        <v>899</v>
      </c>
      <c r="D900" s="34">
        <f t="shared" ca="1" si="14"/>
        <v>0</v>
      </c>
    </row>
    <row r="901" spans="1:4" x14ac:dyDescent="0.4">
      <c r="A901" s="79">
        <f>'Trial Balance Dump'!B905</f>
        <v>0</v>
      </c>
      <c r="B901" s="34" cm="1">
        <f t="array" aca="1" ref="B901" ca="1">IFERROR(SEARCH(INDIRECT(CELL("address")),A901),0)</f>
        <v>1</v>
      </c>
      <c r="C901" s="34">
        <f ca="1">IF(B901=0,"",COUNTIF($B$2:B901,"&gt;0"))</f>
        <v>900</v>
      </c>
      <c r="D901" s="34">
        <f t="shared" ca="1" si="14"/>
        <v>0</v>
      </c>
    </row>
    <row r="902" spans="1:4" x14ac:dyDescent="0.4">
      <c r="A902" s="79">
        <f>'Trial Balance Dump'!B906</f>
        <v>0</v>
      </c>
      <c r="B902" s="34" cm="1">
        <f t="array" aca="1" ref="B902" ca="1">IFERROR(SEARCH(INDIRECT(CELL("address")),A902),0)</f>
        <v>1</v>
      </c>
      <c r="C902" s="34">
        <f ca="1">IF(B902=0,"",COUNTIF($B$2:B902,"&gt;0"))</f>
        <v>901</v>
      </c>
      <c r="D902" s="34">
        <f t="shared" ca="1" si="14"/>
        <v>0</v>
      </c>
    </row>
    <row r="903" spans="1:4" x14ac:dyDescent="0.4">
      <c r="A903" s="79">
        <f>'Trial Balance Dump'!B907</f>
        <v>0</v>
      </c>
      <c r="B903" s="34" cm="1">
        <f t="array" aca="1" ref="B903" ca="1">IFERROR(SEARCH(INDIRECT(CELL("address")),A903),0)</f>
        <v>1</v>
      </c>
      <c r="C903" s="34">
        <f ca="1">IF(B903=0,"",COUNTIF($B$2:B903,"&gt;0"))</f>
        <v>902</v>
      </c>
      <c r="D903" s="34">
        <f t="shared" ca="1" si="14"/>
        <v>0</v>
      </c>
    </row>
    <row r="904" spans="1:4" x14ac:dyDescent="0.4">
      <c r="A904" s="79">
        <f>'Trial Balance Dump'!B908</f>
        <v>0</v>
      </c>
      <c r="B904" s="34" cm="1">
        <f t="array" aca="1" ref="B904" ca="1">IFERROR(SEARCH(INDIRECT(CELL("address")),A904),0)</f>
        <v>1</v>
      </c>
      <c r="C904" s="34">
        <f ca="1">IF(B904=0,"",COUNTIF($B$2:B904,"&gt;0"))</f>
        <v>903</v>
      </c>
      <c r="D904" s="34">
        <f t="shared" ca="1" si="14"/>
        <v>0</v>
      </c>
    </row>
    <row r="905" spans="1:4" x14ac:dyDescent="0.4">
      <c r="A905" s="79">
        <f>'Trial Balance Dump'!B909</f>
        <v>0</v>
      </c>
      <c r="B905" s="34" cm="1">
        <f t="array" aca="1" ref="B905" ca="1">IFERROR(SEARCH(INDIRECT(CELL("address")),A905),0)</f>
        <v>1</v>
      </c>
      <c r="C905" s="34">
        <f ca="1">IF(B905=0,"",COUNTIF($B$2:B905,"&gt;0"))</f>
        <v>904</v>
      </c>
      <c r="D905" s="34">
        <f t="shared" ca="1" si="14"/>
        <v>0</v>
      </c>
    </row>
    <row r="906" spans="1:4" x14ac:dyDescent="0.4">
      <c r="A906" s="79">
        <f>'Trial Balance Dump'!B910</f>
        <v>0</v>
      </c>
      <c r="B906" s="34" cm="1">
        <f t="array" aca="1" ref="B906" ca="1">IFERROR(SEARCH(INDIRECT(CELL("address")),A906),0)</f>
        <v>1</v>
      </c>
      <c r="C906" s="34">
        <f ca="1">IF(B906=0,"",COUNTIF($B$2:B906,"&gt;0"))</f>
        <v>905</v>
      </c>
      <c r="D906" s="34">
        <f t="shared" ca="1" si="14"/>
        <v>0</v>
      </c>
    </row>
    <row r="907" spans="1:4" x14ac:dyDescent="0.4">
      <c r="A907" s="79">
        <f>'Trial Balance Dump'!B911</f>
        <v>0</v>
      </c>
      <c r="B907" s="34" cm="1">
        <f t="array" aca="1" ref="B907" ca="1">IFERROR(SEARCH(INDIRECT(CELL("address")),A907),0)</f>
        <v>1</v>
      </c>
      <c r="C907" s="34">
        <f ca="1">IF(B907=0,"",COUNTIF($B$2:B907,"&gt;0"))</f>
        <v>906</v>
      </c>
      <c r="D907" s="34">
        <f t="shared" ca="1" si="14"/>
        <v>0</v>
      </c>
    </row>
    <row r="908" spans="1:4" x14ac:dyDescent="0.4">
      <c r="A908" s="79">
        <f>'Trial Balance Dump'!B912</f>
        <v>0</v>
      </c>
      <c r="B908" s="34" cm="1">
        <f t="array" aca="1" ref="B908" ca="1">IFERROR(SEARCH(INDIRECT(CELL("address")),A908),0)</f>
        <v>1</v>
      </c>
      <c r="C908" s="34">
        <f ca="1">IF(B908=0,"",COUNTIF($B$2:B908,"&gt;0"))</f>
        <v>907</v>
      </c>
      <c r="D908" s="34">
        <f t="shared" ca="1" si="14"/>
        <v>0</v>
      </c>
    </row>
    <row r="909" spans="1:4" x14ac:dyDescent="0.4">
      <c r="A909" s="79">
        <f>'Trial Balance Dump'!B913</f>
        <v>0</v>
      </c>
      <c r="B909" s="34" cm="1">
        <f t="array" aca="1" ref="B909" ca="1">IFERROR(SEARCH(INDIRECT(CELL("address")),A909),0)</f>
        <v>1</v>
      </c>
      <c r="C909" s="34">
        <f ca="1">IF(B909=0,"",COUNTIF($B$2:B909,"&gt;0"))</f>
        <v>908</v>
      </c>
      <c r="D909" s="34">
        <f t="shared" ca="1" si="14"/>
        <v>0</v>
      </c>
    </row>
    <row r="910" spans="1:4" x14ac:dyDescent="0.4">
      <c r="A910" s="79">
        <f>'Trial Balance Dump'!B914</f>
        <v>0</v>
      </c>
      <c r="B910" s="34" cm="1">
        <f t="array" aca="1" ref="B910" ca="1">IFERROR(SEARCH(INDIRECT(CELL("address")),A910),0)</f>
        <v>1</v>
      </c>
      <c r="C910" s="34">
        <f ca="1">IF(B910=0,"",COUNTIF($B$2:B910,"&gt;0"))</f>
        <v>909</v>
      </c>
      <c r="D910" s="34">
        <f t="shared" ca="1" si="14"/>
        <v>0</v>
      </c>
    </row>
    <row r="911" spans="1:4" x14ac:dyDescent="0.4">
      <c r="A911" s="79">
        <f>'Trial Balance Dump'!B915</f>
        <v>0</v>
      </c>
      <c r="B911" s="34" cm="1">
        <f t="array" aca="1" ref="B911" ca="1">IFERROR(SEARCH(INDIRECT(CELL("address")),A911),0)</f>
        <v>1</v>
      </c>
      <c r="C911" s="34">
        <f ca="1">IF(B911=0,"",COUNTIF($B$2:B911,"&gt;0"))</f>
        <v>910</v>
      </c>
      <c r="D911" s="34">
        <f t="shared" ca="1" si="14"/>
        <v>0</v>
      </c>
    </row>
    <row r="912" spans="1:4" x14ac:dyDescent="0.4">
      <c r="A912" s="79">
        <f>'Trial Balance Dump'!B916</f>
        <v>0</v>
      </c>
      <c r="B912" s="34" cm="1">
        <f t="array" aca="1" ref="B912" ca="1">IFERROR(SEARCH(INDIRECT(CELL("address")),A912),0)</f>
        <v>1</v>
      </c>
      <c r="C912" s="34">
        <f ca="1">IF(B912=0,"",COUNTIF($B$2:B912,"&gt;0"))</f>
        <v>911</v>
      </c>
      <c r="D912" s="34">
        <f t="shared" ca="1" si="14"/>
        <v>0</v>
      </c>
    </row>
    <row r="913" spans="1:4" x14ac:dyDescent="0.4">
      <c r="A913" s="79">
        <f>'Trial Balance Dump'!B917</f>
        <v>0</v>
      </c>
      <c r="B913" s="34" cm="1">
        <f t="array" aca="1" ref="B913" ca="1">IFERROR(SEARCH(INDIRECT(CELL("address")),A913),0)</f>
        <v>1</v>
      </c>
      <c r="C913" s="34">
        <f ca="1">IF(B913=0,"",COUNTIF($B$2:B913,"&gt;0"))</f>
        <v>912</v>
      </c>
      <c r="D913" s="34">
        <f t="shared" ca="1" si="14"/>
        <v>0</v>
      </c>
    </row>
    <row r="914" spans="1:4" x14ac:dyDescent="0.4">
      <c r="A914" s="79">
        <f>'Trial Balance Dump'!B918</f>
        <v>0</v>
      </c>
      <c r="B914" s="34" cm="1">
        <f t="array" aca="1" ref="B914" ca="1">IFERROR(SEARCH(INDIRECT(CELL("address")),A914),0)</f>
        <v>1</v>
      </c>
      <c r="C914" s="34">
        <f ca="1">IF(B914=0,"",COUNTIF($B$2:B914,"&gt;0"))</f>
        <v>913</v>
      </c>
      <c r="D914" s="34">
        <f t="shared" ca="1" si="14"/>
        <v>0</v>
      </c>
    </row>
    <row r="915" spans="1:4" x14ac:dyDescent="0.4">
      <c r="A915" s="79">
        <f>'Trial Balance Dump'!B919</f>
        <v>0</v>
      </c>
      <c r="B915" s="34" cm="1">
        <f t="array" aca="1" ref="B915" ca="1">IFERROR(SEARCH(INDIRECT(CELL("address")),A915),0)</f>
        <v>1</v>
      </c>
      <c r="C915" s="34">
        <f ca="1">IF(B915=0,"",COUNTIF($B$2:B915,"&gt;0"))</f>
        <v>914</v>
      </c>
      <c r="D915" s="34">
        <f t="shared" ca="1" si="14"/>
        <v>0</v>
      </c>
    </row>
    <row r="916" spans="1:4" x14ac:dyDescent="0.4">
      <c r="A916" s="79">
        <f>'Trial Balance Dump'!B920</f>
        <v>0</v>
      </c>
      <c r="B916" s="34" cm="1">
        <f t="array" aca="1" ref="B916" ca="1">IFERROR(SEARCH(INDIRECT(CELL("address")),A916),0)</f>
        <v>1</v>
      </c>
      <c r="C916" s="34">
        <f ca="1">IF(B916=0,"",COUNTIF($B$2:B916,"&gt;0"))</f>
        <v>915</v>
      </c>
      <c r="D916" s="34">
        <f t="shared" ca="1" si="14"/>
        <v>0</v>
      </c>
    </row>
    <row r="917" spans="1:4" x14ac:dyDescent="0.4">
      <c r="A917" s="79">
        <f>'Trial Balance Dump'!B921</f>
        <v>0</v>
      </c>
      <c r="B917" s="34" cm="1">
        <f t="array" aca="1" ref="B917" ca="1">IFERROR(SEARCH(INDIRECT(CELL("address")),A917),0)</f>
        <v>1</v>
      </c>
      <c r="C917" s="34">
        <f ca="1">IF(B917=0,"",COUNTIF($B$2:B917,"&gt;0"))</f>
        <v>916</v>
      </c>
      <c r="D917" s="34">
        <f t="shared" ca="1" si="14"/>
        <v>0</v>
      </c>
    </row>
    <row r="918" spans="1:4" x14ac:dyDescent="0.4">
      <c r="A918" s="79">
        <f>'Trial Balance Dump'!B922</f>
        <v>0</v>
      </c>
      <c r="B918" s="34" cm="1">
        <f t="array" aca="1" ref="B918" ca="1">IFERROR(SEARCH(INDIRECT(CELL("address")),A918),0)</f>
        <v>1</v>
      </c>
      <c r="C918" s="34">
        <f ca="1">IF(B918=0,"",COUNTIF($B$2:B918,"&gt;0"))</f>
        <v>917</v>
      </c>
      <c r="D918" s="34">
        <f t="shared" ca="1" si="14"/>
        <v>0</v>
      </c>
    </row>
    <row r="919" spans="1:4" x14ac:dyDescent="0.4">
      <c r="A919" s="79">
        <f>'Trial Balance Dump'!B923</f>
        <v>0</v>
      </c>
      <c r="B919" s="34" cm="1">
        <f t="array" aca="1" ref="B919" ca="1">IFERROR(SEARCH(INDIRECT(CELL("address")),A919),0)</f>
        <v>1</v>
      </c>
      <c r="C919" s="34">
        <f ca="1">IF(B919=0,"",COUNTIF($B$2:B919,"&gt;0"))</f>
        <v>918</v>
      </c>
      <c r="D919" s="34">
        <f t="shared" ca="1" si="14"/>
        <v>0</v>
      </c>
    </row>
    <row r="920" spans="1:4" x14ac:dyDescent="0.4">
      <c r="A920" s="79">
        <f>'Trial Balance Dump'!B924</f>
        <v>0</v>
      </c>
      <c r="B920" s="34" cm="1">
        <f t="array" aca="1" ref="B920" ca="1">IFERROR(SEARCH(INDIRECT(CELL("address")),A920),0)</f>
        <v>1</v>
      </c>
      <c r="C920" s="34">
        <f ca="1">IF(B920=0,"",COUNTIF($B$2:B920,"&gt;0"))</f>
        <v>919</v>
      </c>
      <c r="D920" s="34">
        <f t="shared" ca="1" si="14"/>
        <v>0</v>
      </c>
    </row>
    <row r="921" spans="1:4" x14ac:dyDescent="0.4">
      <c r="A921" s="79">
        <f>'Trial Balance Dump'!B925</f>
        <v>0</v>
      </c>
      <c r="B921" s="34" cm="1">
        <f t="array" aca="1" ref="B921" ca="1">IFERROR(SEARCH(INDIRECT(CELL("address")),A921),0)</f>
        <v>1</v>
      </c>
      <c r="C921" s="34">
        <f ca="1">IF(B921=0,"",COUNTIF($B$2:B921,"&gt;0"))</f>
        <v>920</v>
      </c>
      <c r="D921" s="34">
        <f t="shared" ca="1" si="14"/>
        <v>0</v>
      </c>
    </row>
    <row r="922" spans="1:4" x14ac:dyDescent="0.4">
      <c r="A922" s="79">
        <f>'Trial Balance Dump'!B926</f>
        <v>0</v>
      </c>
      <c r="B922" s="34" cm="1">
        <f t="array" aca="1" ref="B922" ca="1">IFERROR(SEARCH(INDIRECT(CELL("address")),A922),0)</f>
        <v>1</v>
      </c>
      <c r="C922" s="34">
        <f ca="1">IF(B922=0,"",COUNTIF($B$2:B922,"&gt;0"))</f>
        <v>921</v>
      </c>
      <c r="D922" s="34">
        <f t="shared" ca="1" si="14"/>
        <v>0</v>
      </c>
    </row>
    <row r="923" spans="1:4" x14ac:dyDescent="0.4">
      <c r="A923" s="79">
        <f>'Trial Balance Dump'!B927</f>
        <v>0</v>
      </c>
      <c r="B923" s="34" cm="1">
        <f t="array" aca="1" ref="B923" ca="1">IFERROR(SEARCH(INDIRECT(CELL("address")),A923),0)</f>
        <v>1</v>
      </c>
      <c r="C923" s="34">
        <f ca="1">IF(B923=0,"",COUNTIF($B$2:B923,"&gt;0"))</f>
        <v>922</v>
      </c>
      <c r="D923" s="34">
        <f t="shared" ca="1" si="14"/>
        <v>0</v>
      </c>
    </row>
    <row r="924" spans="1:4" x14ac:dyDescent="0.4">
      <c r="A924" s="79">
        <f>'Trial Balance Dump'!B928</f>
        <v>0</v>
      </c>
      <c r="B924" s="34" cm="1">
        <f t="array" aca="1" ref="B924" ca="1">IFERROR(SEARCH(INDIRECT(CELL("address")),A924),0)</f>
        <v>1</v>
      </c>
      <c r="C924" s="34">
        <f ca="1">IF(B924=0,"",COUNTIF($B$2:B924,"&gt;0"))</f>
        <v>923</v>
      </c>
      <c r="D924" s="34">
        <f t="shared" ca="1" si="14"/>
        <v>0</v>
      </c>
    </row>
    <row r="925" spans="1:4" x14ac:dyDescent="0.4">
      <c r="A925" s="79">
        <f>'Trial Balance Dump'!B929</f>
        <v>0</v>
      </c>
      <c r="B925" s="34" cm="1">
        <f t="array" aca="1" ref="B925" ca="1">IFERROR(SEARCH(INDIRECT(CELL("address")),A925),0)</f>
        <v>1</v>
      </c>
      <c r="C925" s="34">
        <f ca="1">IF(B925=0,"",COUNTIF($B$2:B925,"&gt;0"))</f>
        <v>924</v>
      </c>
      <c r="D925" s="34">
        <f t="shared" ca="1" si="14"/>
        <v>0</v>
      </c>
    </row>
    <row r="926" spans="1:4" x14ac:dyDescent="0.4">
      <c r="A926" s="79">
        <f>'Trial Balance Dump'!B930</f>
        <v>0</v>
      </c>
      <c r="B926" s="34" cm="1">
        <f t="array" aca="1" ref="B926" ca="1">IFERROR(SEARCH(INDIRECT(CELL("address")),A926),0)</f>
        <v>1</v>
      </c>
      <c r="C926" s="34">
        <f ca="1">IF(B926=0,"",COUNTIF($B$2:B926,"&gt;0"))</f>
        <v>925</v>
      </c>
      <c r="D926" s="34">
        <f t="shared" ca="1" si="14"/>
        <v>0</v>
      </c>
    </row>
    <row r="927" spans="1:4" x14ac:dyDescent="0.4">
      <c r="A927" s="79">
        <f>'Trial Balance Dump'!B931</f>
        <v>0</v>
      </c>
      <c r="B927" s="34" cm="1">
        <f t="array" aca="1" ref="B927" ca="1">IFERROR(SEARCH(INDIRECT(CELL("address")),A927),0)</f>
        <v>1</v>
      </c>
      <c r="C927" s="34">
        <f ca="1">IF(B927=0,"",COUNTIF($B$2:B927,"&gt;0"))</f>
        <v>926</v>
      </c>
      <c r="D927" s="34">
        <f t="shared" ca="1" si="14"/>
        <v>0</v>
      </c>
    </row>
    <row r="928" spans="1:4" x14ac:dyDescent="0.4">
      <c r="A928" s="79">
        <f>'Trial Balance Dump'!B932</f>
        <v>0</v>
      </c>
      <c r="B928" s="34" cm="1">
        <f t="array" aca="1" ref="B928" ca="1">IFERROR(SEARCH(INDIRECT(CELL("address")),A928),0)</f>
        <v>1</v>
      </c>
      <c r="C928" s="34">
        <f ca="1">IF(B928=0,"",COUNTIF($B$2:B928,"&gt;0"))</f>
        <v>927</v>
      </c>
      <c r="D928" s="34">
        <f t="shared" ca="1" si="14"/>
        <v>0</v>
      </c>
    </row>
    <row r="929" spans="1:4" x14ac:dyDescent="0.4">
      <c r="A929" s="79">
        <f>'Trial Balance Dump'!B933</f>
        <v>0</v>
      </c>
      <c r="B929" s="34" cm="1">
        <f t="array" aca="1" ref="B929" ca="1">IFERROR(SEARCH(INDIRECT(CELL("address")),A929),0)</f>
        <v>1</v>
      </c>
      <c r="C929" s="34">
        <f ca="1">IF(B929=0,"",COUNTIF($B$2:B929,"&gt;0"))</f>
        <v>928</v>
      </c>
      <c r="D929" s="34">
        <f t="shared" ca="1" si="14"/>
        <v>0</v>
      </c>
    </row>
    <row r="930" spans="1:4" x14ac:dyDescent="0.4">
      <c r="A930" s="79">
        <f>'Trial Balance Dump'!B934</f>
        <v>0</v>
      </c>
      <c r="B930" s="34" cm="1">
        <f t="array" aca="1" ref="B930" ca="1">IFERROR(SEARCH(INDIRECT(CELL("address")),A930),0)</f>
        <v>1</v>
      </c>
      <c r="C930" s="34">
        <f ca="1">IF(B930=0,"",COUNTIF($B$2:B930,"&gt;0"))</f>
        <v>929</v>
      </c>
      <c r="D930" s="34">
        <f t="shared" ca="1" si="14"/>
        <v>0</v>
      </c>
    </row>
    <row r="931" spans="1:4" x14ac:dyDescent="0.4">
      <c r="A931" s="79">
        <f>'Trial Balance Dump'!B935</f>
        <v>0</v>
      </c>
      <c r="B931" s="34" cm="1">
        <f t="array" aca="1" ref="B931" ca="1">IFERROR(SEARCH(INDIRECT(CELL("address")),A931),0)</f>
        <v>1</v>
      </c>
      <c r="C931" s="34">
        <f ca="1">IF(B931=0,"",COUNTIF($B$2:B931,"&gt;0"))</f>
        <v>930</v>
      </c>
      <c r="D931" s="34">
        <f t="shared" ca="1" si="14"/>
        <v>0</v>
      </c>
    </row>
    <row r="932" spans="1:4" x14ac:dyDescent="0.4">
      <c r="A932" s="79">
        <f>'Trial Balance Dump'!B936</f>
        <v>0</v>
      </c>
      <c r="B932" s="34" cm="1">
        <f t="array" aca="1" ref="B932" ca="1">IFERROR(SEARCH(INDIRECT(CELL("address")),A932),0)</f>
        <v>1</v>
      </c>
      <c r="C932" s="34">
        <f ca="1">IF(B932=0,"",COUNTIF($B$2:B932,"&gt;0"))</f>
        <v>931</v>
      </c>
      <c r="D932" s="34">
        <f t="shared" ca="1" si="14"/>
        <v>0</v>
      </c>
    </row>
    <row r="933" spans="1:4" x14ac:dyDescent="0.4">
      <c r="A933" s="79">
        <f>'Trial Balance Dump'!B937</f>
        <v>0</v>
      </c>
      <c r="B933" s="34" cm="1">
        <f t="array" aca="1" ref="B933" ca="1">IFERROR(SEARCH(INDIRECT(CELL("address")),A933),0)</f>
        <v>1</v>
      </c>
      <c r="C933" s="34">
        <f ca="1">IF(B933=0,"",COUNTIF($B$2:B933,"&gt;0"))</f>
        <v>932</v>
      </c>
      <c r="D933" s="34">
        <f t="shared" ca="1" si="14"/>
        <v>0</v>
      </c>
    </row>
    <row r="934" spans="1:4" x14ac:dyDescent="0.4">
      <c r="A934" s="79">
        <f>'Trial Balance Dump'!B938</f>
        <v>0</v>
      </c>
      <c r="B934" s="34" cm="1">
        <f t="array" aca="1" ref="B934" ca="1">IFERROR(SEARCH(INDIRECT(CELL("address")),A934),0)</f>
        <v>1</v>
      </c>
      <c r="C934" s="34">
        <f ca="1">IF(B934=0,"",COUNTIF($B$2:B934,"&gt;0"))</f>
        <v>933</v>
      </c>
      <c r="D934" s="34">
        <f t="shared" ca="1" si="14"/>
        <v>0</v>
      </c>
    </row>
    <row r="935" spans="1:4" x14ac:dyDescent="0.4">
      <c r="A935" s="79">
        <f>'Trial Balance Dump'!B939</f>
        <v>0</v>
      </c>
      <c r="B935" s="34" cm="1">
        <f t="array" aca="1" ref="B935" ca="1">IFERROR(SEARCH(INDIRECT(CELL("address")),A935),0)</f>
        <v>1</v>
      </c>
      <c r="C935" s="34">
        <f ca="1">IF(B935=0,"",COUNTIF($B$2:B935,"&gt;0"))</f>
        <v>934</v>
      </c>
      <c r="D935" s="34">
        <f t="shared" ca="1" si="14"/>
        <v>0</v>
      </c>
    </row>
    <row r="936" spans="1:4" x14ac:dyDescent="0.4">
      <c r="A936" s="79">
        <f>'Trial Balance Dump'!B940</f>
        <v>0</v>
      </c>
      <c r="B936" s="34" cm="1">
        <f t="array" aca="1" ref="B936" ca="1">IFERROR(SEARCH(INDIRECT(CELL("address")),A936),0)</f>
        <v>1</v>
      </c>
      <c r="C936" s="34">
        <f ca="1">IF(B936=0,"",COUNTIF($B$2:B936,"&gt;0"))</f>
        <v>935</v>
      </c>
      <c r="D936" s="34">
        <f t="shared" ca="1" si="14"/>
        <v>0</v>
      </c>
    </row>
    <row r="937" spans="1:4" x14ac:dyDescent="0.4">
      <c r="A937" s="79">
        <f>'Trial Balance Dump'!B941</f>
        <v>0</v>
      </c>
      <c r="B937" s="34" cm="1">
        <f t="array" aca="1" ref="B937" ca="1">IFERROR(SEARCH(INDIRECT(CELL("address")),A937),0)</f>
        <v>1</v>
      </c>
      <c r="C937" s="34">
        <f ca="1">IF(B937=0,"",COUNTIF($B$2:B937,"&gt;0"))</f>
        <v>936</v>
      </c>
      <c r="D937" s="34">
        <f t="shared" ca="1" si="14"/>
        <v>0</v>
      </c>
    </row>
    <row r="938" spans="1:4" x14ac:dyDescent="0.4">
      <c r="A938" s="79">
        <f>'Trial Balance Dump'!B942</f>
        <v>0</v>
      </c>
      <c r="B938" s="34" cm="1">
        <f t="array" aca="1" ref="B938" ca="1">IFERROR(SEARCH(INDIRECT(CELL("address")),A938),0)</f>
        <v>1</v>
      </c>
      <c r="C938" s="34">
        <f ca="1">IF(B938=0,"",COUNTIF($B$2:B938,"&gt;0"))</f>
        <v>937</v>
      </c>
      <c r="D938" s="34">
        <f t="shared" ca="1" si="14"/>
        <v>0</v>
      </c>
    </row>
    <row r="939" spans="1:4" x14ac:dyDescent="0.4">
      <c r="A939" s="79">
        <f>'Trial Balance Dump'!B943</f>
        <v>0</v>
      </c>
      <c r="B939" s="34" cm="1">
        <f t="array" aca="1" ref="B939" ca="1">IFERROR(SEARCH(INDIRECT(CELL("address")),A939),0)</f>
        <v>1</v>
      </c>
      <c r="C939" s="34">
        <f ca="1">IF(B939=0,"",COUNTIF($B$2:B939,"&gt;0"))</f>
        <v>938</v>
      </c>
      <c r="D939" s="34">
        <f t="shared" ca="1" si="14"/>
        <v>0</v>
      </c>
    </row>
    <row r="940" spans="1:4" x14ac:dyDescent="0.4">
      <c r="A940" s="79">
        <f>'Trial Balance Dump'!B944</f>
        <v>0</v>
      </c>
      <c r="B940" s="34" cm="1">
        <f t="array" aca="1" ref="B940" ca="1">IFERROR(SEARCH(INDIRECT(CELL("address")),A940),0)</f>
        <v>1</v>
      </c>
      <c r="C940" s="34">
        <f ca="1">IF(B940=0,"",COUNTIF($B$2:B940,"&gt;0"))</f>
        <v>939</v>
      </c>
      <c r="D940" s="34">
        <f t="shared" ca="1" si="14"/>
        <v>0</v>
      </c>
    </row>
    <row r="941" spans="1:4" x14ac:dyDescent="0.4">
      <c r="A941" s="79">
        <f>'Trial Balance Dump'!B945</f>
        <v>0</v>
      </c>
      <c r="B941" s="34" cm="1">
        <f t="array" aca="1" ref="B941" ca="1">IFERROR(SEARCH(INDIRECT(CELL("address")),A941),0)</f>
        <v>1</v>
      </c>
      <c r="C941" s="34">
        <f ca="1">IF(B941=0,"",COUNTIF($B$2:B941,"&gt;0"))</f>
        <v>940</v>
      </c>
      <c r="D941" s="34">
        <f t="shared" ca="1" si="14"/>
        <v>0</v>
      </c>
    </row>
    <row r="942" spans="1:4" x14ac:dyDescent="0.4">
      <c r="A942" s="79">
        <f>'Trial Balance Dump'!B946</f>
        <v>0</v>
      </c>
      <c r="B942" s="34" cm="1">
        <f t="array" aca="1" ref="B942" ca="1">IFERROR(SEARCH(INDIRECT(CELL("address")),A942),0)</f>
        <v>1</v>
      </c>
      <c r="C942" s="34">
        <f ca="1">IF(B942=0,"",COUNTIF($B$2:B942,"&gt;0"))</f>
        <v>941</v>
      </c>
      <c r="D942" s="34">
        <f t="shared" ca="1" si="14"/>
        <v>0</v>
      </c>
    </row>
    <row r="943" spans="1:4" x14ac:dyDescent="0.4">
      <c r="A943" s="79">
        <f>'Trial Balance Dump'!B947</f>
        <v>0</v>
      </c>
      <c r="B943" s="34" cm="1">
        <f t="array" aca="1" ref="B943" ca="1">IFERROR(SEARCH(INDIRECT(CELL("address")),A943),0)</f>
        <v>1</v>
      </c>
      <c r="C943" s="34">
        <f ca="1">IF(B943=0,"",COUNTIF($B$2:B943,"&gt;0"))</f>
        <v>942</v>
      </c>
      <c r="D943" s="34">
        <f t="shared" ca="1" si="14"/>
        <v>0</v>
      </c>
    </row>
    <row r="944" spans="1:4" x14ac:dyDescent="0.4">
      <c r="A944" s="79">
        <f>'Trial Balance Dump'!B948</f>
        <v>0</v>
      </c>
      <c r="B944" s="34" cm="1">
        <f t="array" aca="1" ref="B944" ca="1">IFERROR(SEARCH(INDIRECT(CELL("address")),A944),0)</f>
        <v>1</v>
      </c>
      <c r="C944" s="34">
        <f ca="1">IF(B944=0,"",COUNTIF($B$2:B944,"&gt;0"))</f>
        <v>943</v>
      </c>
      <c r="D944" s="34">
        <f t="shared" ca="1" si="14"/>
        <v>0</v>
      </c>
    </row>
    <row r="945" spans="1:4" x14ac:dyDescent="0.4">
      <c r="A945" s="79">
        <f>'Trial Balance Dump'!B949</f>
        <v>0</v>
      </c>
      <c r="B945" s="34" cm="1">
        <f t="array" aca="1" ref="B945" ca="1">IFERROR(SEARCH(INDIRECT(CELL("address")),A945),0)</f>
        <v>1</v>
      </c>
      <c r="C945" s="34">
        <f ca="1">IF(B945=0,"",COUNTIF($B$2:B945,"&gt;0"))</f>
        <v>944</v>
      </c>
      <c r="D945" s="34">
        <f t="shared" ca="1" si="14"/>
        <v>0</v>
      </c>
    </row>
    <row r="946" spans="1:4" x14ac:dyDescent="0.4">
      <c r="A946" s="79">
        <f>'Trial Balance Dump'!B950</f>
        <v>0</v>
      </c>
      <c r="B946" s="34" cm="1">
        <f t="array" aca="1" ref="B946" ca="1">IFERROR(SEARCH(INDIRECT(CELL("address")),A946),0)</f>
        <v>1</v>
      </c>
      <c r="C946" s="34">
        <f ca="1">IF(B946=0,"",COUNTIF($B$2:B946,"&gt;0"))</f>
        <v>945</v>
      </c>
      <c r="D946" s="34">
        <f t="shared" ca="1" si="14"/>
        <v>0</v>
      </c>
    </row>
    <row r="947" spans="1:4" x14ac:dyDescent="0.4">
      <c r="A947" s="79">
        <f>'Trial Balance Dump'!B951</f>
        <v>0</v>
      </c>
      <c r="B947" s="34" cm="1">
        <f t="array" aca="1" ref="B947" ca="1">IFERROR(SEARCH(INDIRECT(CELL("address")),A947),0)</f>
        <v>1</v>
      </c>
      <c r="C947" s="34">
        <f ca="1">IF(B947=0,"",COUNTIF($B$2:B947,"&gt;0"))</f>
        <v>946</v>
      </c>
      <c r="D947" s="34">
        <f t="shared" ca="1" si="14"/>
        <v>0</v>
      </c>
    </row>
    <row r="948" spans="1:4" x14ac:dyDescent="0.4">
      <c r="A948" s="79">
        <f>'Trial Balance Dump'!B952</f>
        <v>0</v>
      </c>
      <c r="B948" s="34" cm="1">
        <f t="array" aca="1" ref="B948" ca="1">IFERROR(SEARCH(INDIRECT(CELL("address")),A948),0)</f>
        <v>1</v>
      </c>
      <c r="C948" s="34">
        <f ca="1">IF(B948=0,"",COUNTIF($B$2:B948,"&gt;0"))</f>
        <v>947</v>
      </c>
      <c r="D948" s="34">
        <f t="shared" ca="1" si="14"/>
        <v>0</v>
      </c>
    </row>
    <row r="949" spans="1:4" x14ac:dyDescent="0.4">
      <c r="A949" s="79">
        <f>'Trial Balance Dump'!B953</f>
        <v>0</v>
      </c>
      <c r="B949" s="34" cm="1">
        <f t="array" aca="1" ref="B949" ca="1">IFERROR(SEARCH(INDIRECT(CELL("address")),A949),0)</f>
        <v>1</v>
      </c>
      <c r="C949" s="34">
        <f ca="1">IF(B949=0,"",COUNTIF($B$2:B949,"&gt;0"))</f>
        <v>948</v>
      </c>
      <c r="D949" s="34">
        <f t="shared" ca="1" si="14"/>
        <v>0</v>
      </c>
    </row>
    <row r="950" spans="1:4" x14ac:dyDescent="0.4">
      <c r="A950" s="79">
        <f>'Trial Balance Dump'!B954</f>
        <v>0</v>
      </c>
      <c r="B950" s="34" cm="1">
        <f t="array" aca="1" ref="B950" ca="1">IFERROR(SEARCH(INDIRECT(CELL("address")),A950),0)</f>
        <v>1</v>
      </c>
      <c r="C950" s="34">
        <f ca="1">IF(B950=0,"",COUNTIF($B$2:B950,"&gt;0"))</f>
        <v>949</v>
      </c>
      <c r="D950" s="34">
        <f t="shared" ca="1" si="14"/>
        <v>0</v>
      </c>
    </row>
    <row r="951" spans="1:4" x14ac:dyDescent="0.4">
      <c r="A951" s="79">
        <f>'Trial Balance Dump'!B955</f>
        <v>0</v>
      </c>
      <c r="B951" s="34" cm="1">
        <f t="array" aca="1" ref="B951" ca="1">IFERROR(SEARCH(INDIRECT(CELL("address")),A951),0)</f>
        <v>1</v>
      </c>
      <c r="C951" s="34">
        <f ca="1">IF(B951=0,"",COUNTIF($B$2:B951,"&gt;0"))</f>
        <v>950</v>
      </c>
      <c r="D951" s="34">
        <f t="shared" ca="1" si="14"/>
        <v>0</v>
      </c>
    </row>
    <row r="952" spans="1:4" x14ac:dyDescent="0.4">
      <c r="A952" s="79">
        <f>'Trial Balance Dump'!B956</f>
        <v>0</v>
      </c>
      <c r="B952" s="34" cm="1">
        <f t="array" aca="1" ref="B952" ca="1">IFERROR(SEARCH(INDIRECT(CELL("address")),A952),0)</f>
        <v>1</v>
      </c>
      <c r="C952" s="34">
        <f ca="1">IF(B952=0,"",COUNTIF($B$2:B952,"&gt;0"))</f>
        <v>951</v>
      </c>
      <c r="D952" s="34">
        <f t="shared" ca="1" si="14"/>
        <v>0</v>
      </c>
    </row>
    <row r="953" spans="1:4" x14ac:dyDescent="0.4">
      <c r="A953" s="79">
        <f>'Trial Balance Dump'!B957</f>
        <v>0</v>
      </c>
      <c r="B953" s="34" cm="1">
        <f t="array" aca="1" ref="B953" ca="1">IFERROR(SEARCH(INDIRECT(CELL("address")),A953),0)</f>
        <v>1</v>
      </c>
      <c r="C953" s="34">
        <f ca="1">IF(B953=0,"",COUNTIF($B$2:B953,"&gt;0"))</f>
        <v>952</v>
      </c>
      <c r="D953" s="34">
        <f t="shared" ca="1" si="14"/>
        <v>0</v>
      </c>
    </row>
    <row r="954" spans="1:4" x14ac:dyDescent="0.4">
      <c r="A954" s="79">
        <f>'Trial Balance Dump'!B958</f>
        <v>0</v>
      </c>
      <c r="B954" s="34" cm="1">
        <f t="array" aca="1" ref="B954" ca="1">IFERROR(SEARCH(INDIRECT(CELL("address")),A954),0)</f>
        <v>1</v>
      </c>
      <c r="C954" s="34">
        <f ca="1">IF(B954=0,"",COUNTIF($B$2:B954,"&gt;0"))</f>
        <v>953</v>
      </c>
      <c r="D954" s="34">
        <f t="shared" ca="1" si="14"/>
        <v>0</v>
      </c>
    </row>
    <row r="955" spans="1:4" x14ac:dyDescent="0.4">
      <c r="A955" s="79">
        <f>'Trial Balance Dump'!B959</f>
        <v>0</v>
      </c>
      <c r="B955" s="34" cm="1">
        <f t="array" aca="1" ref="B955" ca="1">IFERROR(SEARCH(INDIRECT(CELL("address")),A955),0)</f>
        <v>1</v>
      </c>
      <c r="C955" s="34">
        <f ca="1">IF(B955=0,"",COUNTIF($B$2:B955,"&gt;0"))</f>
        <v>954</v>
      </c>
      <c r="D955" s="34">
        <f t="shared" ca="1" si="14"/>
        <v>0</v>
      </c>
    </row>
    <row r="956" spans="1:4" x14ac:dyDescent="0.4">
      <c r="A956" s="79">
        <f>'Trial Balance Dump'!B960</f>
        <v>0</v>
      </c>
      <c r="B956" s="34" cm="1">
        <f t="array" aca="1" ref="B956" ca="1">IFERROR(SEARCH(INDIRECT(CELL("address")),A956),0)</f>
        <v>1</v>
      </c>
      <c r="C956" s="34">
        <f ca="1">IF(B956=0,"",COUNTIF($B$2:B956,"&gt;0"))</f>
        <v>955</v>
      </c>
      <c r="D956" s="34">
        <f t="shared" ca="1" si="14"/>
        <v>0</v>
      </c>
    </row>
    <row r="957" spans="1:4" x14ac:dyDescent="0.4">
      <c r="A957" s="79">
        <f>'Trial Balance Dump'!B961</f>
        <v>0</v>
      </c>
      <c r="B957" s="34" cm="1">
        <f t="array" aca="1" ref="B957" ca="1">IFERROR(SEARCH(INDIRECT(CELL("address")),A957),0)</f>
        <v>1</v>
      </c>
      <c r="C957" s="34">
        <f ca="1">IF(B957=0,"",COUNTIF($B$2:B957,"&gt;0"))</f>
        <v>956</v>
      </c>
      <c r="D957" s="34">
        <f t="shared" ca="1" si="14"/>
        <v>0</v>
      </c>
    </row>
    <row r="958" spans="1:4" x14ac:dyDescent="0.4">
      <c r="A958" s="79">
        <f>'Trial Balance Dump'!B962</f>
        <v>0</v>
      </c>
      <c r="B958" s="34" cm="1">
        <f t="array" aca="1" ref="B958" ca="1">IFERROR(SEARCH(INDIRECT(CELL("address")),A958),0)</f>
        <v>1</v>
      </c>
      <c r="C958" s="34">
        <f ca="1">IF(B958=0,"",COUNTIF($B$2:B958,"&gt;0"))</f>
        <v>957</v>
      </c>
      <c r="D958" s="34">
        <f t="shared" ca="1" si="14"/>
        <v>0</v>
      </c>
    </row>
    <row r="959" spans="1:4" x14ac:dyDescent="0.4">
      <c r="A959" s="79">
        <f>'Trial Balance Dump'!B963</f>
        <v>0</v>
      </c>
      <c r="B959" s="34" cm="1">
        <f t="array" aca="1" ref="B959" ca="1">IFERROR(SEARCH(INDIRECT(CELL("address")),A959),0)</f>
        <v>1</v>
      </c>
      <c r="C959" s="34">
        <f ca="1">IF(B959=0,"",COUNTIF($B$2:B959,"&gt;0"))</f>
        <v>958</v>
      </c>
      <c r="D959" s="34">
        <f t="shared" ca="1" si="14"/>
        <v>0</v>
      </c>
    </row>
    <row r="960" spans="1:4" x14ac:dyDescent="0.4">
      <c r="A960" s="79">
        <f>'Trial Balance Dump'!B964</f>
        <v>0</v>
      </c>
      <c r="B960" s="34" cm="1">
        <f t="array" aca="1" ref="B960" ca="1">IFERROR(SEARCH(INDIRECT(CELL("address")),A960),0)</f>
        <v>1</v>
      </c>
      <c r="C960" s="34">
        <f ca="1">IF(B960=0,"",COUNTIF($B$2:B960,"&gt;0"))</f>
        <v>959</v>
      </c>
      <c r="D960" s="34">
        <f t="shared" ca="1" si="14"/>
        <v>0</v>
      </c>
    </row>
    <row r="961" spans="1:4" x14ac:dyDescent="0.4">
      <c r="A961" s="79">
        <f>'Trial Balance Dump'!B965</f>
        <v>0</v>
      </c>
      <c r="B961" s="34" cm="1">
        <f t="array" aca="1" ref="B961" ca="1">IFERROR(SEARCH(INDIRECT(CELL("address")),A961),0)</f>
        <v>1</v>
      </c>
      <c r="C961" s="34">
        <f ca="1">IF(B961=0,"",COUNTIF($B$2:B961,"&gt;0"))</f>
        <v>960</v>
      </c>
      <c r="D961" s="34">
        <f t="shared" ca="1" si="14"/>
        <v>0</v>
      </c>
    </row>
    <row r="962" spans="1:4" x14ac:dyDescent="0.4">
      <c r="A962" s="79">
        <f>'Trial Balance Dump'!B966</f>
        <v>0</v>
      </c>
      <c r="B962" s="34" cm="1">
        <f t="array" aca="1" ref="B962" ca="1">IFERROR(SEARCH(INDIRECT(CELL("address")),A962),0)</f>
        <v>1</v>
      </c>
      <c r="C962" s="34">
        <f ca="1">IF(B962=0,"",COUNTIF($B$2:B962,"&gt;0"))</f>
        <v>961</v>
      </c>
      <c r="D962" s="34">
        <f t="shared" ca="1" si="14"/>
        <v>0</v>
      </c>
    </row>
    <row r="963" spans="1:4" x14ac:dyDescent="0.4">
      <c r="A963" s="79">
        <f>'Trial Balance Dump'!B967</f>
        <v>0</v>
      </c>
      <c r="B963" s="34" cm="1">
        <f t="array" aca="1" ref="B963" ca="1">IFERROR(SEARCH(INDIRECT(CELL("address")),A963),0)</f>
        <v>1</v>
      </c>
      <c r="C963" s="34">
        <f ca="1">IF(B963=0,"",COUNTIF($B$2:B963,"&gt;0"))</f>
        <v>962</v>
      </c>
      <c r="D963" s="34">
        <f t="shared" ref="D963:D995" ca="1" si="15">IFERROR(INDEX(A:A,MATCH(ROW(B962),C:C,0)),"")</f>
        <v>0</v>
      </c>
    </row>
    <row r="964" spans="1:4" x14ac:dyDescent="0.4">
      <c r="A964" s="79">
        <f>'Trial Balance Dump'!B968</f>
        <v>0</v>
      </c>
      <c r="B964" s="34" cm="1">
        <f t="array" aca="1" ref="B964" ca="1">IFERROR(SEARCH(INDIRECT(CELL("address")),A964),0)</f>
        <v>1</v>
      </c>
      <c r="C964" s="34">
        <f ca="1">IF(B964=0,"",COUNTIF($B$2:B964,"&gt;0"))</f>
        <v>963</v>
      </c>
      <c r="D964" s="34">
        <f t="shared" ca="1" si="15"/>
        <v>0</v>
      </c>
    </row>
    <row r="965" spans="1:4" x14ac:dyDescent="0.4">
      <c r="A965" s="79">
        <f>'Trial Balance Dump'!B969</f>
        <v>0</v>
      </c>
      <c r="B965" s="34" cm="1">
        <f t="array" aca="1" ref="B965" ca="1">IFERROR(SEARCH(INDIRECT(CELL("address")),A965),0)</f>
        <v>1</v>
      </c>
      <c r="C965" s="34">
        <f ca="1">IF(B965=0,"",COUNTIF($B$2:B965,"&gt;0"))</f>
        <v>964</v>
      </c>
      <c r="D965" s="34">
        <f t="shared" ca="1" si="15"/>
        <v>0</v>
      </c>
    </row>
    <row r="966" spans="1:4" x14ac:dyDescent="0.4">
      <c r="A966" s="79">
        <f>'Trial Balance Dump'!B970</f>
        <v>0</v>
      </c>
      <c r="B966" s="34" cm="1">
        <f t="array" aca="1" ref="B966" ca="1">IFERROR(SEARCH(INDIRECT(CELL("address")),A966),0)</f>
        <v>1</v>
      </c>
      <c r="C966" s="34">
        <f ca="1">IF(B966=0,"",COUNTIF($B$2:B966,"&gt;0"))</f>
        <v>965</v>
      </c>
      <c r="D966" s="34">
        <f t="shared" ca="1" si="15"/>
        <v>0</v>
      </c>
    </row>
    <row r="967" spans="1:4" x14ac:dyDescent="0.4">
      <c r="A967" s="79">
        <f>'Trial Balance Dump'!B971</f>
        <v>0</v>
      </c>
      <c r="B967" s="34" cm="1">
        <f t="array" aca="1" ref="B967" ca="1">IFERROR(SEARCH(INDIRECT(CELL("address")),A967),0)</f>
        <v>1</v>
      </c>
      <c r="C967" s="34">
        <f ca="1">IF(B967=0,"",COUNTIF($B$2:B967,"&gt;0"))</f>
        <v>966</v>
      </c>
      <c r="D967" s="34">
        <f t="shared" ca="1" si="15"/>
        <v>0</v>
      </c>
    </row>
    <row r="968" spans="1:4" x14ac:dyDescent="0.4">
      <c r="A968" s="79">
        <f>'Trial Balance Dump'!B972</f>
        <v>0</v>
      </c>
      <c r="B968" s="34" cm="1">
        <f t="array" aca="1" ref="B968" ca="1">IFERROR(SEARCH(INDIRECT(CELL("address")),A968),0)</f>
        <v>1</v>
      </c>
      <c r="C968" s="34">
        <f ca="1">IF(B968=0,"",COUNTIF($B$2:B968,"&gt;0"))</f>
        <v>967</v>
      </c>
      <c r="D968" s="34">
        <f t="shared" ca="1" si="15"/>
        <v>0</v>
      </c>
    </row>
    <row r="969" spans="1:4" x14ac:dyDescent="0.4">
      <c r="A969" s="79">
        <f>'Trial Balance Dump'!B973</f>
        <v>0</v>
      </c>
      <c r="B969" s="34" cm="1">
        <f t="array" aca="1" ref="B969" ca="1">IFERROR(SEARCH(INDIRECT(CELL("address")),A969),0)</f>
        <v>1</v>
      </c>
      <c r="C969" s="34">
        <f ca="1">IF(B969=0,"",COUNTIF($B$2:B969,"&gt;0"))</f>
        <v>968</v>
      </c>
      <c r="D969" s="34">
        <f t="shared" ca="1" si="15"/>
        <v>0</v>
      </c>
    </row>
    <row r="970" spans="1:4" x14ac:dyDescent="0.4">
      <c r="A970" s="79">
        <f>'Trial Balance Dump'!B974</f>
        <v>0</v>
      </c>
      <c r="B970" s="34" cm="1">
        <f t="array" aca="1" ref="B970" ca="1">IFERROR(SEARCH(INDIRECT(CELL("address")),A970),0)</f>
        <v>1</v>
      </c>
      <c r="C970" s="34">
        <f ca="1">IF(B970=0,"",COUNTIF($B$2:B970,"&gt;0"))</f>
        <v>969</v>
      </c>
      <c r="D970" s="34">
        <f t="shared" ca="1" si="15"/>
        <v>0</v>
      </c>
    </row>
    <row r="971" spans="1:4" x14ac:dyDescent="0.4">
      <c r="A971" s="79">
        <f>'Trial Balance Dump'!B975</f>
        <v>0</v>
      </c>
      <c r="B971" s="34" cm="1">
        <f t="array" aca="1" ref="B971" ca="1">IFERROR(SEARCH(INDIRECT(CELL("address")),A971),0)</f>
        <v>1</v>
      </c>
      <c r="C971" s="34">
        <f ca="1">IF(B971=0,"",COUNTIF($B$2:B971,"&gt;0"))</f>
        <v>970</v>
      </c>
      <c r="D971" s="34">
        <f t="shared" ca="1" si="15"/>
        <v>0</v>
      </c>
    </row>
    <row r="972" spans="1:4" x14ac:dyDescent="0.4">
      <c r="A972" s="79">
        <f>'Trial Balance Dump'!B976</f>
        <v>0</v>
      </c>
      <c r="B972" s="34" cm="1">
        <f t="array" aca="1" ref="B972" ca="1">IFERROR(SEARCH(INDIRECT(CELL("address")),A972),0)</f>
        <v>1</v>
      </c>
      <c r="C972" s="34">
        <f ca="1">IF(B972=0,"",COUNTIF($B$2:B972,"&gt;0"))</f>
        <v>971</v>
      </c>
      <c r="D972" s="34">
        <f t="shared" ca="1" si="15"/>
        <v>0</v>
      </c>
    </row>
    <row r="973" spans="1:4" x14ac:dyDescent="0.4">
      <c r="A973" s="79">
        <f>'Trial Balance Dump'!B977</f>
        <v>0</v>
      </c>
      <c r="B973" s="34" cm="1">
        <f t="array" aca="1" ref="B973" ca="1">IFERROR(SEARCH(INDIRECT(CELL("address")),A973),0)</f>
        <v>1</v>
      </c>
      <c r="C973" s="34">
        <f ca="1">IF(B973=0,"",COUNTIF($B$2:B973,"&gt;0"))</f>
        <v>972</v>
      </c>
      <c r="D973" s="34">
        <f t="shared" ca="1" si="15"/>
        <v>0</v>
      </c>
    </row>
    <row r="974" spans="1:4" x14ac:dyDescent="0.4">
      <c r="A974" s="79">
        <f>'Trial Balance Dump'!B978</f>
        <v>0</v>
      </c>
      <c r="B974" s="34" cm="1">
        <f t="array" aca="1" ref="B974" ca="1">IFERROR(SEARCH(INDIRECT(CELL("address")),A974),0)</f>
        <v>1</v>
      </c>
      <c r="C974" s="34">
        <f ca="1">IF(B974=0,"",COUNTIF($B$2:B974,"&gt;0"))</f>
        <v>973</v>
      </c>
      <c r="D974" s="34">
        <f t="shared" ca="1" si="15"/>
        <v>0</v>
      </c>
    </row>
    <row r="975" spans="1:4" x14ac:dyDescent="0.4">
      <c r="A975" s="79">
        <f>'Trial Balance Dump'!B979</f>
        <v>0</v>
      </c>
      <c r="B975" s="34" cm="1">
        <f t="array" aca="1" ref="B975" ca="1">IFERROR(SEARCH(INDIRECT(CELL("address")),A975),0)</f>
        <v>1</v>
      </c>
      <c r="C975" s="34">
        <f ca="1">IF(B975=0,"",COUNTIF($B$2:B975,"&gt;0"))</f>
        <v>974</v>
      </c>
      <c r="D975" s="34">
        <f t="shared" ca="1" si="15"/>
        <v>0</v>
      </c>
    </row>
    <row r="976" spans="1:4" x14ac:dyDescent="0.4">
      <c r="A976" s="79">
        <f>'Trial Balance Dump'!B980</f>
        <v>0</v>
      </c>
      <c r="B976" s="34" cm="1">
        <f t="array" aca="1" ref="B976" ca="1">IFERROR(SEARCH(INDIRECT(CELL("address")),A976),0)</f>
        <v>1</v>
      </c>
      <c r="C976" s="34">
        <f ca="1">IF(B976=0,"",COUNTIF($B$2:B976,"&gt;0"))</f>
        <v>975</v>
      </c>
      <c r="D976" s="34">
        <f t="shared" ca="1" si="15"/>
        <v>0</v>
      </c>
    </row>
    <row r="977" spans="1:4" x14ac:dyDescent="0.4">
      <c r="A977" s="79">
        <f>'Trial Balance Dump'!B981</f>
        <v>0</v>
      </c>
      <c r="B977" s="34" cm="1">
        <f t="array" aca="1" ref="B977" ca="1">IFERROR(SEARCH(INDIRECT(CELL("address")),A977),0)</f>
        <v>1</v>
      </c>
      <c r="C977" s="34">
        <f ca="1">IF(B977=0,"",COUNTIF($B$2:B977,"&gt;0"))</f>
        <v>976</v>
      </c>
      <c r="D977" s="34">
        <f t="shared" ca="1" si="15"/>
        <v>0</v>
      </c>
    </row>
    <row r="978" spans="1:4" x14ac:dyDescent="0.4">
      <c r="A978" s="79">
        <f>'Trial Balance Dump'!B982</f>
        <v>0</v>
      </c>
      <c r="B978" s="34" cm="1">
        <f t="array" aca="1" ref="B978" ca="1">IFERROR(SEARCH(INDIRECT(CELL("address")),A978),0)</f>
        <v>1</v>
      </c>
      <c r="C978" s="34">
        <f ca="1">IF(B978=0,"",COUNTIF($B$2:B978,"&gt;0"))</f>
        <v>977</v>
      </c>
      <c r="D978" s="34">
        <f t="shared" ca="1" si="15"/>
        <v>0</v>
      </c>
    </row>
    <row r="979" spans="1:4" x14ac:dyDescent="0.4">
      <c r="A979" s="79">
        <f>'Trial Balance Dump'!B983</f>
        <v>0</v>
      </c>
      <c r="B979" s="34" cm="1">
        <f t="array" aca="1" ref="B979" ca="1">IFERROR(SEARCH(INDIRECT(CELL("address")),A979),0)</f>
        <v>1</v>
      </c>
      <c r="C979" s="34">
        <f ca="1">IF(B979=0,"",COUNTIF($B$2:B979,"&gt;0"))</f>
        <v>978</v>
      </c>
      <c r="D979" s="34">
        <f t="shared" ca="1" si="15"/>
        <v>0</v>
      </c>
    </row>
    <row r="980" spans="1:4" x14ac:dyDescent="0.4">
      <c r="A980" s="79">
        <f>'Trial Balance Dump'!B984</f>
        <v>0</v>
      </c>
      <c r="B980" s="34" cm="1">
        <f t="array" aca="1" ref="B980" ca="1">IFERROR(SEARCH(INDIRECT(CELL("address")),A980),0)</f>
        <v>1</v>
      </c>
      <c r="C980" s="34">
        <f ca="1">IF(B980=0,"",COUNTIF($B$2:B980,"&gt;0"))</f>
        <v>979</v>
      </c>
      <c r="D980" s="34">
        <f t="shared" ca="1" si="15"/>
        <v>0</v>
      </c>
    </row>
    <row r="981" spans="1:4" x14ac:dyDescent="0.4">
      <c r="A981" s="79">
        <f>'Trial Balance Dump'!B985</f>
        <v>0</v>
      </c>
      <c r="B981" s="34" cm="1">
        <f t="array" aca="1" ref="B981" ca="1">IFERROR(SEARCH(INDIRECT(CELL("address")),A981),0)</f>
        <v>1</v>
      </c>
      <c r="C981" s="34">
        <f ca="1">IF(B981=0,"",COUNTIF($B$2:B981,"&gt;0"))</f>
        <v>980</v>
      </c>
      <c r="D981" s="34">
        <f t="shared" ca="1" si="15"/>
        <v>0</v>
      </c>
    </row>
    <row r="982" spans="1:4" x14ac:dyDescent="0.4">
      <c r="A982" s="79">
        <f>'Trial Balance Dump'!B986</f>
        <v>0</v>
      </c>
      <c r="B982" s="34" cm="1">
        <f t="array" aca="1" ref="B982" ca="1">IFERROR(SEARCH(INDIRECT(CELL("address")),A982),0)</f>
        <v>1</v>
      </c>
      <c r="C982" s="34">
        <f ca="1">IF(B982=0,"",COUNTIF($B$2:B982,"&gt;0"))</f>
        <v>981</v>
      </c>
      <c r="D982" s="34">
        <f t="shared" ca="1" si="15"/>
        <v>0</v>
      </c>
    </row>
    <row r="983" spans="1:4" x14ac:dyDescent="0.4">
      <c r="A983" s="79">
        <f>'Trial Balance Dump'!B987</f>
        <v>0</v>
      </c>
      <c r="B983" s="34" cm="1">
        <f t="array" aca="1" ref="B983" ca="1">IFERROR(SEARCH(INDIRECT(CELL("address")),A983),0)</f>
        <v>1</v>
      </c>
      <c r="C983" s="34">
        <f ca="1">IF(B983=0,"",COUNTIF($B$2:B983,"&gt;0"))</f>
        <v>982</v>
      </c>
      <c r="D983" s="34">
        <f t="shared" ca="1" si="15"/>
        <v>0</v>
      </c>
    </row>
    <row r="984" spans="1:4" x14ac:dyDescent="0.4">
      <c r="A984" s="79">
        <f>'Trial Balance Dump'!B988</f>
        <v>0</v>
      </c>
      <c r="B984" s="34" cm="1">
        <f t="array" aca="1" ref="B984" ca="1">IFERROR(SEARCH(INDIRECT(CELL("address")),A984),0)</f>
        <v>1</v>
      </c>
      <c r="C984" s="34">
        <f ca="1">IF(B984=0,"",COUNTIF($B$2:B984,"&gt;0"))</f>
        <v>983</v>
      </c>
      <c r="D984" s="34">
        <f t="shared" ca="1" si="15"/>
        <v>0</v>
      </c>
    </row>
    <row r="985" spans="1:4" x14ac:dyDescent="0.4">
      <c r="A985" s="79">
        <f>'Trial Balance Dump'!B989</f>
        <v>0</v>
      </c>
      <c r="B985" s="34" cm="1">
        <f t="array" aca="1" ref="B985" ca="1">IFERROR(SEARCH(INDIRECT(CELL("address")),A985),0)</f>
        <v>1</v>
      </c>
      <c r="C985" s="34">
        <f ca="1">IF(B985=0,"",COUNTIF($B$2:B985,"&gt;0"))</f>
        <v>984</v>
      </c>
      <c r="D985" s="34">
        <f t="shared" ca="1" si="15"/>
        <v>0</v>
      </c>
    </row>
    <row r="986" spans="1:4" x14ac:dyDescent="0.4">
      <c r="A986" s="79">
        <f>'Trial Balance Dump'!B990</f>
        <v>0</v>
      </c>
      <c r="B986" s="34" cm="1">
        <f t="array" aca="1" ref="B986" ca="1">IFERROR(SEARCH(INDIRECT(CELL("address")),A986),0)</f>
        <v>1</v>
      </c>
      <c r="C986" s="34">
        <f ca="1">IF(B986=0,"",COUNTIF($B$2:B986,"&gt;0"))</f>
        <v>985</v>
      </c>
      <c r="D986" s="34">
        <f t="shared" ca="1" si="15"/>
        <v>0</v>
      </c>
    </row>
    <row r="987" spans="1:4" x14ac:dyDescent="0.4">
      <c r="A987" s="79">
        <f>'Trial Balance Dump'!B991</f>
        <v>0</v>
      </c>
      <c r="B987" s="34" cm="1">
        <f t="array" aca="1" ref="B987" ca="1">IFERROR(SEARCH(INDIRECT(CELL("address")),A987),0)</f>
        <v>1</v>
      </c>
      <c r="C987" s="34">
        <f ca="1">IF(B987=0,"",COUNTIF($B$2:B987,"&gt;0"))</f>
        <v>986</v>
      </c>
      <c r="D987" s="34">
        <f t="shared" ca="1" si="15"/>
        <v>0</v>
      </c>
    </row>
    <row r="988" spans="1:4" x14ac:dyDescent="0.4">
      <c r="A988" s="79">
        <f>'Trial Balance Dump'!B992</f>
        <v>0</v>
      </c>
      <c r="B988" s="34" cm="1">
        <f t="array" aca="1" ref="B988" ca="1">IFERROR(SEARCH(INDIRECT(CELL("address")),A988),0)</f>
        <v>1</v>
      </c>
      <c r="C988" s="34">
        <f ca="1">IF(B988=0,"",COUNTIF($B$2:B988,"&gt;0"))</f>
        <v>987</v>
      </c>
      <c r="D988" s="34">
        <f t="shared" ca="1" si="15"/>
        <v>0</v>
      </c>
    </row>
    <row r="989" spans="1:4" x14ac:dyDescent="0.4">
      <c r="A989" s="79">
        <f>'Trial Balance Dump'!B993</f>
        <v>0</v>
      </c>
      <c r="B989" s="34" cm="1">
        <f t="array" aca="1" ref="B989" ca="1">IFERROR(SEARCH(INDIRECT(CELL("address")),A989),0)</f>
        <v>1</v>
      </c>
      <c r="C989" s="34">
        <f ca="1">IF(B989=0,"",COUNTIF($B$2:B989,"&gt;0"))</f>
        <v>988</v>
      </c>
      <c r="D989" s="34">
        <f t="shared" ca="1" si="15"/>
        <v>0</v>
      </c>
    </row>
    <row r="990" spans="1:4" x14ac:dyDescent="0.4">
      <c r="A990" s="79">
        <f>'Trial Balance Dump'!B994</f>
        <v>0</v>
      </c>
      <c r="B990" s="34" cm="1">
        <f t="array" aca="1" ref="B990" ca="1">IFERROR(SEARCH(INDIRECT(CELL("address")),A990),0)</f>
        <v>1</v>
      </c>
      <c r="C990" s="34">
        <f ca="1">IF(B990=0,"",COUNTIF($B$2:B990,"&gt;0"))</f>
        <v>989</v>
      </c>
      <c r="D990" s="34">
        <f t="shared" ca="1" si="15"/>
        <v>0</v>
      </c>
    </row>
    <row r="991" spans="1:4" x14ac:dyDescent="0.4">
      <c r="A991" s="79">
        <f>'Trial Balance Dump'!B995</f>
        <v>0</v>
      </c>
      <c r="B991" s="34" cm="1">
        <f t="array" aca="1" ref="B991" ca="1">IFERROR(SEARCH(INDIRECT(CELL("address")),A991),0)</f>
        <v>1</v>
      </c>
      <c r="C991" s="34">
        <f ca="1">IF(B991=0,"",COUNTIF($B$2:B991,"&gt;0"))</f>
        <v>990</v>
      </c>
      <c r="D991" s="34">
        <f t="shared" ca="1" si="15"/>
        <v>0</v>
      </c>
    </row>
    <row r="992" spans="1:4" x14ac:dyDescent="0.4">
      <c r="A992" s="79">
        <f>'Trial Balance Dump'!B996</f>
        <v>0</v>
      </c>
      <c r="B992" s="34" cm="1">
        <f t="array" aca="1" ref="B992" ca="1">IFERROR(SEARCH(INDIRECT(CELL("address")),A992),0)</f>
        <v>1</v>
      </c>
      <c r="C992" s="34">
        <f ca="1">IF(B992=0,"",COUNTIF($B$2:B992,"&gt;0"))</f>
        <v>991</v>
      </c>
      <c r="D992" s="34">
        <f t="shared" ca="1" si="15"/>
        <v>0</v>
      </c>
    </row>
    <row r="993" spans="1:4" x14ac:dyDescent="0.4">
      <c r="A993" s="79">
        <f>'Trial Balance Dump'!B997</f>
        <v>0</v>
      </c>
      <c r="B993" s="34" cm="1">
        <f t="array" aca="1" ref="B993" ca="1">IFERROR(SEARCH(INDIRECT(CELL("address")),A993),0)</f>
        <v>1</v>
      </c>
      <c r="C993" s="34">
        <f ca="1">IF(B993=0,"",COUNTIF($B$2:B993,"&gt;0"))</f>
        <v>992</v>
      </c>
      <c r="D993" s="34">
        <f t="shared" ca="1" si="15"/>
        <v>0</v>
      </c>
    </row>
    <row r="994" spans="1:4" x14ac:dyDescent="0.4">
      <c r="A994" s="79">
        <f>'Trial Balance Dump'!B998</f>
        <v>0</v>
      </c>
      <c r="B994" s="34" cm="1">
        <f t="array" aca="1" ref="B994" ca="1">IFERROR(SEARCH(INDIRECT(CELL("address")),A994),0)</f>
        <v>1</v>
      </c>
      <c r="C994" s="34">
        <f ca="1">IF(B994=0,"",COUNTIF($B$2:B994,"&gt;0"))</f>
        <v>993</v>
      </c>
      <c r="D994" s="34">
        <f t="shared" ca="1" si="15"/>
        <v>0</v>
      </c>
    </row>
    <row r="995" spans="1:4" x14ac:dyDescent="0.4">
      <c r="A995" s="79">
        <f>'Trial Balance Dump'!B999</f>
        <v>0</v>
      </c>
      <c r="B995" s="34" cm="1">
        <f t="array" aca="1" ref="B995" ca="1">IFERROR(SEARCH(INDIRECT(CELL("address")),A995),0)</f>
        <v>1</v>
      </c>
      <c r="C995" s="34">
        <f ca="1">IF(B995=0,"",COUNTIF($B$2:B995,"&gt;0"))</f>
        <v>994</v>
      </c>
      <c r="D995" s="34">
        <f t="shared" ca="1" si="15"/>
        <v>0</v>
      </c>
    </row>
    <row r="996" spans="1:4" x14ac:dyDescent="0.4">
      <c r="A996" s="79"/>
    </row>
    <row r="997" spans="1:4" x14ac:dyDescent="0.4">
      <c r="A997" s="79"/>
    </row>
    <row r="998" spans="1:4" x14ac:dyDescent="0.4">
      <c r="A998" s="79"/>
    </row>
    <row r="999" spans="1:4" x14ac:dyDescent="0.4">
      <c r="A999" s="79"/>
    </row>
    <row r="1000" spans="1:4" x14ac:dyDescent="0.4">
      <c r="A1000" s="79"/>
    </row>
    <row r="1001" spans="1:4" x14ac:dyDescent="0.4">
      <c r="A1001" s="79"/>
    </row>
    <row r="1002" spans="1:4" x14ac:dyDescent="0.4">
      <c r="A1002" s="79"/>
    </row>
    <row r="1003" spans="1:4" x14ac:dyDescent="0.4">
      <c r="A1003" s="79"/>
    </row>
    <row r="1004" spans="1:4" x14ac:dyDescent="0.4">
      <c r="A1004" s="79"/>
    </row>
    <row r="1005" spans="1:4" x14ac:dyDescent="0.4">
      <c r="A1005" s="79"/>
    </row>
    <row r="1006" spans="1:4" x14ac:dyDescent="0.4">
      <c r="A1006" s="79"/>
    </row>
    <row r="1007" spans="1:4" x14ac:dyDescent="0.4">
      <c r="A1007" s="79"/>
    </row>
    <row r="1008" spans="1:4" x14ac:dyDescent="0.4">
      <c r="A1008" s="79"/>
    </row>
    <row r="1009" spans="1:1" x14ac:dyDescent="0.4">
      <c r="A1009" s="79"/>
    </row>
    <row r="1010" spans="1:1" x14ac:dyDescent="0.4">
      <c r="A1010" s="79"/>
    </row>
    <row r="1011" spans="1:1" x14ac:dyDescent="0.4">
      <c r="A1011" s="79"/>
    </row>
    <row r="1012" spans="1:1" x14ac:dyDescent="0.4">
      <c r="A1012" s="79"/>
    </row>
    <row r="1013" spans="1:1" x14ac:dyDescent="0.4">
      <c r="A1013" s="79"/>
    </row>
    <row r="1014" spans="1:1" x14ac:dyDescent="0.4">
      <c r="A1014" s="79"/>
    </row>
    <row r="1015" spans="1:1" x14ac:dyDescent="0.4">
      <c r="A1015" s="79"/>
    </row>
    <row r="1016" spans="1:1" x14ac:dyDescent="0.4">
      <c r="A1016" s="79"/>
    </row>
    <row r="1017" spans="1:1" x14ac:dyDescent="0.4">
      <c r="A1017" s="79"/>
    </row>
    <row r="1018" spans="1:1" x14ac:dyDescent="0.4">
      <c r="A1018" s="79"/>
    </row>
    <row r="1019" spans="1:1" x14ac:dyDescent="0.4">
      <c r="A1019" s="79"/>
    </row>
    <row r="1020" spans="1:1" x14ac:dyDescent="0.4">
      <c r="A1020" s="79"/>
    </row>
    <row r="1021" spans="1:1" x14ac:dyDescent="0.4">
      <c r="A1021" s="79"/>
    </row>
    <row r="1022" spans="1:1" x14ac:dyDescent="0.4">
      <c r="A1022" s="79"/>
    </row>
    <row r="1023" spans="1:1" x14ac:dyDescent="0.4">
      <c r="A1023" s="79"/>
    </row>
    <row r="1024" spans="1:1" x14ac:dyDescent="0.4">
      <c r="A1024" s="79"/>
    </row>
    <row r="1025" spans="1:1" x14ac:dyDescent="0.4">
      <c r="A1025" s="79"/>
    </row>
    <row r="1026" spans="1:1" x14ac:dyDescent="0.4">
      <c r="A1026" s="79"/>
    </row>
    <row r="1027" spans="1:1" x14ac:dyDescent="0.4">
      <c r="A1027" s="79"/>
    </row>
    <row r="1028" spans="1:1" x14ac:dyDescent="0.4">
      <c r="A1028" s="79"/>
    </row>
    <row r="1029" spans="1:1" x14ac:dyDescent="0.4">
      <c r="A1029" s="79"/>
    </row>
    <row r="1030" spans="1:1" x14ac:dyDescent="0.4">
      <c r="A1030" s="79"/>
    </row>
    <row r="1031" spans="1:1" x14ac:dyDescent="0.4">
      <c r="A1031" s="79"/>
    </row>
    <row r="1032" spans="1:1" x14ac:dyDescent="0.4">
      <c r="A1032" s="79"/>
    </row>
    <row r="1033" spans="1:1" x14ac:dyDescent="0.4">
      <c r="A1033" s="79"/>
    </row>
    <row r="1034" spans="1:1" x14ac:dyDescent="0.4">
      <c r="A1034" s="79"/>
    </row>
    <row r="1035" spans="1:1" x14ac:dyDescent="0.4">
      <c r="A1035" s="79"/>
    </row>
    <row r="1036" spans="1:1" x14ac:dyDescent="0.4">
      <c r="A1036" s="79"/>
    </row>
    <row r="1037" spans="1:1" x14ac:dyDescent="0.4">
      <c r="A1037" s="79"/>
    </row>
    <row r="1038" spans="1:1" x14ac:dyDescent="0.4">
      <c r="A1038" s="79"/>
    </row>
    <row r="1039" spans="1:1" x14ac:dyDescent="0.4">
      <c r="A1039" s="79"/>
    </row>
    <row r="1040" spans="1:1" x14ac:dyDescent="0.4">
      <c r="A1040" s="79"/>
    </row>
    <row r="1041" spans="1:1" x14ac:dyDescent="0.4">
      <c r="A1041" s="79"/>
    </row>
    <row r="1042" spans="1:1" x14ac:dyDescent="0.4">
      <c r="A1042" s="79"/>
    </row>
    <row r="1043" spans="1:1" x14ac:dyDescent="0.4">
      <c r="A1043" s="79"/>
    </row>
    <row r="1044" spans="1:1" x14ac:dyDescent="0.4">
      <c r="A1044" s="79"/>
    </row>
    <row r="1045" spans="1:1" x14ac:dyDescent="0.4">
      <c r="A1045" s="79"/>
    </row>
    <row r="1046" spans="1:1" x14ac:dyDescent="0.4">
      <c r="A1046" s="79"/>
    </row>
    <row r="1047" spans="1:1" x14ac:dyDescent="0.4">
      <c r="A1047" s="79"/>
    </row>
    <row r="1048" spans="1:1" x14ac:dyDescent="0.4">
      <c r="A1048" s="79"/>
    </row>
    <row r="1049" spans="1:1" x14ac:dyDescent="0.4">
      <c r="A1049" s="79"/>
    </row>
    <row r="1050" spans="1:1" x14ac:dyDescent="0.4">
      <c r="A1050" s="79"/>
    </row>
    <row r="1051" spans="1:1" x14ac:dyDescent="0.4">
      <c r="A1051" s="79"/>
    </row>
    <row r="1052" spans="1:1" x14ac:dyDescent="0.4">
      <c r="A1052" s="79"/>
    </row>
    <row r="1053" spans="1:1" x14ac:dyDescent="0.4">
      <c r="A1053" s="79"/>
    </row>
    <row r="1054" spans="1:1" x14ac:dyDescent="0.4">
      <c r="A1054" s="79"/>
    </row>
    <row r="1055" spans="1:1" x14ac:dyDescent="0.4">
      <c r="A1055" s="79"/>
    </row>
    <row r="1056" spans="1:1" x14ac:dyDescent="0.4">
      <c r="A1056" s="79"/>
    </row>
    <row r="1057" spans="1:1" x14ac:dyDescent="0.4">
      <c r="A1057" s="79"/>
    </row>
    <row r="1058" spans="1:1" x14ac:dyDescent="0.4">
      <c r="A1058" s="79"/>
    </row>
    <row r="1059" spans="1:1" x14ac:dyDescent="0.4">
      <c r="A1059" s="79"/>
    </row>
    <row r="1060" spans="1:1" x14ac:dyDescent="0.4">
      <c r="A1060" s="79"/>
    </row>
    <row r="1061" spans="1:1" x14ac:dyDescent="0.4">
      <c r="A1061" s="79"/>
    </row>
    <row r="1062" spans="1:1" x14ac:dyDescent="0.4">
      <c r="A1062" s="79"/>
    </row>
    <row r="1063" spans="1:1" x14ac:dyDescent="0.4">
      <c r="A1063" s="79"/>
    </row>
    <row r="1064" spans="1:1" x14ac:dyDescent="0.4">
      <c r="A1064" s="79"/>
    </row>
    <row r="1065" spans="1:1" x14ac:dyDescent="0.4">
      <c r="A1065" s="79"/>
    </row>
    <row r="1066" spans="1:1" x14ac:dyDescent="0.4">
      <c r="A1066" s="79"/>
    </row>
    <row r="1067" spans="1:1" x14ac:dyDescent="0.4">
      <c r="A1067" s="79"/>
    </row>
    <row r="1068" spans="1:1" x14ac:dyDescent="0.4">
      <c r="A1068" s="79"/>
    </row>
    <row r="1069" spans="1:1" x14ac:dyDescent="0.4">
      <c r="A1069" s="79"/>
    </row>
    <row r="1070" spans="1:1" x14ac:dyDescent="0.4">
      <c r="A1070" s="79"/>
    </row>
    <row r="1071" spans="1:1" x14ac:dyDescent="0.4">
      <c r="A1071" s="79"/>
    </row>
    <row r="1072" spans="1:1" x14ac:dyDescent="0.4">
      <c r="A1072" s="79"/>
    </row>
    <row r="1073" spans="1:1" x14ac:dyDescent="0.4">
      <c r="A1073" s="79"/>
    </row>
    <row r="1074" spans="1:1" x14ac:dyDescent="0.4">
      <c r="A1074" s="79"/>
    </row>
    <row r="1075" spans="1:1" x14ac:dyDescent="0.4">
      <c r="A1075" s="79"/>
    </row>
    <row r="1076" spans="1:1" x14ac:dyDescent="0.4">
      <c r="A1076" s="79"/>
    </row>
    <row r="1077" spans="1:1" x14ac:dyDescent="0.4">
      <c r="A1077" s="79"/>
    </row>
    <row r="1078" spans="1:1" x14ac:dyDescent="0.4">
      <c r="A1078" s="79"/>
    </row>
    <row r="1079" spans="1:1" x14ac:dyDescent="0.4">
      <c r="A1079" s="79"/>
    </row>
    <row r="1080" spans="1:1" x14ac:dyDescent="0.4">
      <c r="A1080" s="79"/>
    </row>
    <row r="1081" spans="1:1" x14ac:dyDescent="0.4">
      <c r="A1081" s="79"/>
    </row>
    <row r="1082" spans="1:1" x14ac:dyDescent="0.4">
      <c r="A1082" s="79"/>
    </row>
    <row r="1083" spans="1:1" x14ac:dyDescent="0.4">
      <c r="A1083" s="79"/>
    </row>
    <row r="1084" spans="1:1" x14ac:dyDescent="0.4">
      <c r="A1084" s="79"/>
    </row>
    <row r="1085" spans="1:1" x14ac:dyDescent="0.4">
      <c r="A1085" s="79"/>
    </row>
    <row r="1086" spans="1:1" x14ac:dyDescent="0.4">
      <c r="A1086" s="79"/>
    </row>
    <row r="1087" spans="1:1" x14ac:dyDescent="0.4">
      <c r="A1087" s="79"/>
    </row>
    <row r="1088" spans="1:1" x14ac:dyDescent="0.4">
      <c r="A1088" s="79"/>
    </row>
    <row r="1089" spans="1:1" x14ac:dyDescent="0.4">
      <c r="A1089" s="79"/>
    </row>
    <row r="1090" spans="1:1" x14ac:dyDescent="0.4">
      <c r="A1090" s="79"/>
    </row>
    <row r="1091" spans="1:1" x14ac:dyDescent="0.4">
      <c r="A1091" s="79"/>
    </row>
    <row r="1092" spans="1:1" x14ac:dyDescent="0.4">
      <c r="A1092" s="79"/>
    </row>
    <row r="1093" spans="1:1" x14ac:dyDescent="0.4">
      <c r="A1093" s="79"/>
    </row>
    <row r="1094" spans="1:1" x14ac:dyDescent="0.4">
      <c r="A1094" s="79"/>
    </row>
    <row r="1095" spans="1:1" x14ac:dyDescent="0.4">
      <c r="A1095" s="79"/>
    </row>
    <row r="1096" spans="1:1" x14ac:dyDescent="0.4">
      <c r="A1096" s="79"/>
    </row>
    <row r="1097" spans="1:1" x14ac:dyDescent="0.4">
      <c r="A1097" s="79"/>
    </row>
    <row r="1098" spans="1:1" x14ac:dyDescent="0.4">
      <c r="A1098" s="79"/>
    </row>
    <row r="1099" spans="1:1" x14ac:dyDescent="0.4">
      <c r="A1099" s="79"/>
    </row>
    <row r="1100" spans="1:1" x14ac:dyDescent="0.4">
      <c r="A1100" s="79"/>
    </row>
    <row r="1101" spans="1:1" x14ac:dyDescent="0.4">
      <c r="A1101" s="79"/>
    </row>
    <row r="1102" spans="1:1" x14ac:dyDescent="0.4">
      <c r="A1102" s="79"/>
    </row>
    <row r="1103" spans="1:1" x14ac:dyDescent="0.4">
      <c r="A1103" s="79"/>
    </row>
    <row r="1104" spans="1:1" x14ac:dyDescent="0.4">
      <c r="A1104" s="79"/>
    </row>
    <row r="1105" spans="1:1" x14ac:dyDescent="0.4">
      <c r="A1105" s="79"/>
    </row>
    <row r="1106" spans="1:1" x14ac:dyDescent="0.4">
      <c r="A1106" s="79"/>
    </row>
    <row r="1107" spans="1:1" x14ac:dyDescent="0.4">
      <c r="A1107" s="79"/>
    </row>
    <row r="1108" spans="1:1" x14ac:dyDescent="0.4">
      <c r="A1108" s="79"/>
    </row>
    <row r="1109" spans="1:1" x14ac:dyDescent="0.4">
      <c r="A1109" s="79"/>
    </row>
    <row r="1110" spans="1:1" x14ac:dyDescent="0.4">
      <c r="A1110" s="79"/>
    </row>
    <row r="1111" spans="1:1" x14ac:dyDescent="0.4">
      <c r="A1111" s="79"/>
    </row>
    <row r="1112" spans="1:1" x14ac:dyDescent="0.4">
      <c r="A1112" s="79"/>
    </row>
    <row r="1113" spans="1:1" x14ac:dyDescent="0.4">
      <c r="A1113" s="79"/>
    </row>
    <row r="1114" spans="1:1" x14ac:dyDescent="0.4">
      <c r="A1114" s="79"/>
    </row>
    <row r="1115" spans="1:1" x14ac:dyDescent="0.4">
      <c r="A1115" s="79"/>
    </row>
    <row r="1116" spans="1:1" x14ac:dyDescent="0.4">
      <c r="A1116" s="79"/>
    </row>
    <row r="1117" spans="1:1" x14ac:dyDescent="0.4">
      <c r="A1117" s="79"/>
    </row>
    <row r="1118" spans="1:1" x14ac:dyDescent="0.4">
      <c r="A1118" s="79"/>
    </row>
    <row r="1119" spans="1:1" x14ac:dyDescent="0.4">
      <c r="A1119" s="79"/>
    </row>
    <row r="1120" spans="1:1" x14ac:dyDescent="0.4">
      <c r="A1120" s="79"/>
    </row>
    <row r="1121" spans="1:1" x14ac:dyDescent="0.4">
      <c r="A1121" s="79"/>
    </row>
    <row r="1122" spans="1:1" x14ac:dyDescent="0.4">
      <c r="A1122" s="79"/>
    </row>
    <row r="1123" spans="1:1" x14ac:dyDescent="0.4">
      <c r="A1123" s="79"/>
    </row>
    <row r="1124" spans="1:1" x14ac:dyDescent="0.4">
      <c r="A1124" s="79"/>
    </row>
    <row r="1125" spans="1:1" x14ac:dyDescent="0.4">
      <c r="A1125" s="79"/>
    </row>
    <row r="1126" spans="1:1" x14ac:dyDescent="0.4">
      <c r="A1126" s="79"/>
    </row>
    <row r="1127" spans="1:1" x14ac:dyDescent="0.4">
      <c r="A1127" s="79"/>
    </row>
    <row r="1128" spans="1:1" x14ac:dyDescent="0.4">
      <c r="A1128" s="79"/>
    </row>
    <row r="1129" spans="1:1" x14ac:dyDescent="0.4">
      <c r="A1129" s="79"/>
    </row>
    <row r="1130" spans="1:1" x14ac:dyDescent="0.4">
      <c r="A1130" s="79"/>
    </row>
    <row r="1131" spans="1:1" x14ac:dyDescent="0.4">
      <c r="A1131" s="79"/>
    </row>
    <row r="1132" spans="1:1" x14ac:dyDescent="0.4">
      <c r="A1132" s="79"/>
    </row>
    <row r="1133" spans="1:1" x14ac:dyDescent="0.4">
      <c r="A1133" s="79"/>
    </row>
    <row r="1134" spans="1:1" x14ac:dyDescent="0.4">
      <c r="A1134" s="79"/>
    </row>
    <row r="1135" spans="1:1" x14ac:dyDescent="0.4">
      <c r="A1135" s="79"/>
    </row>
    <row r="1136" spans="1:1" x14ac:dyDescent="0.4">
      <c r="A1136" s="79"/>
    </row>
    <row r="1137" spans="1:1" x14ac:dyDescent="0.4">
      <c r="A1137" s="79"/>
    </row>
    <row r="1138" spans="1:1" x14ac:dyDescent="0.4">
      <c r="A1138" s="79"/>
    </row>
    <row r="1139" spans="1:1" x14ac:dyDescent="0.4">
      <c r="A1139" s="79"/>
    </row>
    <row r="1140" spans="1:1" x14ac:dyDescent="0.4">
      <c r="A1140" s="79"/>
    </row>
    <row r="1141" spans="1:1" x14ac:dyDescent="0.4">
      <c r="A1141" s="79"/>
    </row>
    <row r="1142" spans="1:1" x14ac:dyDescent="0.4">
      <c r="A1142" s="79"/>
    </row>
    <row r="1143" spans="1:1" x14ac:dyDescent="0.4">
      <c r="A1143" s="79"/>
    </row>
    <row r="1144" spans="1:1" x14ac:dyDescent="0.4">
      <c r="A1144" s="79"/>
    </row>
    <row r="1145" spans="1:1" x14ac:dyDescent="0.4">
      <c r="A1145" s="79"/>
    </row>
    <row r="1146" spans="1:1" x14ac:dyDescent="0.4">
      <c r="A1146" s="79"/>
    </row>
    <row r="1147" spans="1:1" x14ac:dyDescent="0.4">
      <c r="A1147" s="79"/>
    </row>
    <row r="1148" spans="1:1" x14ac:dyDescent="0.4">
      <c r="A1148" s="79"/>
    </row>
    <row r="1149" spans="1:1" x14ac:dyDescent="0.4">
      <c r="A1149" s="79"/>
    </row>
    <row r="1150" spans="1:1" x14ac:dyDescent="0.4">
      <c r="A1150" s="79"/>
    </row>
    <row r="1151" spans="1:1" x14ac:dyDescent="0.4">
      <c r="A1151" s="79"/>
    </row>
    <row r="1152" spans="1:1" x14ac:dyDescent="0.4">
      <c r="A1152" s="79"/>
    </row>
    <row r="1153" spans="1:1" x14ac:dyDescent="0.4">
      <c r="A1153" s="79"/>
    </row>
    <row r="1154" spans="1:1" x14ac:dyDescent="0.4">
      <c r="A1154" s="79"/>
    </row>
    <row r="1155" spans="1:1" x14ac:dyDescent="0.4">
      <c r="A1155" s="79"/>
    </row>
    <row r="1156" spans="1:1" x14ac:dyDescent="0.4">
      <c r="A1156" s="79"/>
    </row>
    <row r="1157" spans="1:1" x14ac:dyDescent="0.4">
      <c r="A1157" s="79"/>
    </row>
    <row r="1158" spans="1:1" x14ac:dyDescent="0.4">
      <c r="A1158" s="79"/>
    </row>
    <row r="1159" spans="1:1" x14ac:dyDescent="0.4">
      <c r="A1159" s="79"/>
    </row>
    <row r="1160" spans="1:1" x14ac:dyDescent="0.4">
      <c r="A1160" s="79"/>
    </row>
  </sheetData>
  <phoneticPr fontId="27" type="noConversion"/>
  <pageMargins left="0.7" right="0.7" top="0.75" bottom="0.75" header="0.3" footer="0.3"/>
  <pageSetup paperSize="122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58CC60-CE26-44D8-AFA4-B81E71EFA6C1}">
  <sheetPr codeName="Sheet49"/>
  <dimension ref="A1:W28"/>
  <sheetViews>
    <sheetView showGridLines="0" zoomScale="85" zoomScaleNormal="85" workbookViewId="0">
      <selection activeCell="L11" sqref="L11"/>
    </sheetView>
  </sheetViews>
  <sheetFormatPr defaultColWidth="0" defaultRowHeight="18" customHeight="1" zeroHeight="1" x14ac:dyDescent="0.4"/>
  <cols>
    <col min="1" max="1" width="4.59765625" style="35" customWidth="1"/>
    <col min="2" max="2" width="3.265625" style="35" customWidth="1"/>
    <col min="3" max="10" width="9.1328125" style="35" customWidth="1"/>
    <col min="11" max="11" width="5.73046875" style="35" customWidth="1"/>
    <col min="12" max="23" width="9.1328125" style="35" customWidth="1"/>
    <col min="24" max="16384" width="9.1328125" style="35" hidden="1"/>
  </cols>
  <sheetData>
    <row r="1" spans="2:13" ht="18" customHeight="1" thickBot="1" x14ac:dyDescent="0.45"/>
    <row r="2" spans="2:13" ht="12" customHeight="1" x14ac:dyDescent="0.4">
      <c r="B2" s="36"/>
      <c r="C2" s="37"/>
      <c r="D2" s="37"/>
      <c r="E2" s="37"/>
      <c r="F2" s="37"/>
      <c r="G2" s="37"/>
      <c r="H2" s="37"/>
      <c r="I2" s="37"/>
      <c r="J2" s="37"/>
      <c r="K2" s="38"/>
    </row>
    <row r="3" spans="2:13" ht="25.5" customHeight="1" x14ac:dyDescent="0.55000000000000004">
      <c r="B3" s="39"/>
      <c r="C3" s="40" t="s">
        <v>31</v>
      </c>
      <c r="D3" s="41"/>
      <c r="E3" s="41"/>
      <c r="F3" s="41"/>
      <c r="G3" s="41"/>
      <c r="H3" s="41"/>
      <c r="I3" s="41"/>
      <c r="J3" s="41"/>
      <c r="K3" s="42"/>
      <c r="M3" s="43" t="s">
        <v>32</v>
      </c>
    </row>
    <row r="4" spans="2:13" ht="14.25" customHeight="1" x14ac:dyDescent="0.4">
      <c r="B4" s="39"/>
      <c r="C4" s="41"/>
      <c r="D4" s="41"/>
      <c r="E4" s="41"/>
      <c r="F4" s="41"/>
      <c r="G4" s="41"/>
      <c r="H4" s="41"/>
      <c r="I4" s="41"/>
      <c r="J4" s="41"/>
      <c r="K4" s="42"/>
      <c r="M4" s="44" t="s">
        <v>33</v>
      </c>
    </row>
    <row r="5" spans="2:13" ht="18" customHeight="1" x14ac:dyDescent="0.4">
      <c r="B5" s="39"/>
      <c r="C5" s="41" t="s">
        <v>34</v>
      </c>
      <c r="D5" s="41"/>
      <c r="E5" s="41"/>
      <c r="F5" s="41"/>
      <c r="G5" s="41"/>
      <c r="H5" s="41"/>
      <c r="I5" s="41"/>
      <c r="J5" s="41"/>
      <c r="K5" s="42"/>
      <c r="M5" s="45" t="s">
        <v>42</v>
      </c>
    </row>
    <row r="6" spans="2:13" ht="18" customHeight="1" x14ac:dyDescent="0.4">
      <c r="B6" s="39"/>
      <c r="C6" s="46" t="s">
        <v>35</v>
      </c>
      <c r="D6" s="41"/>
      <c r="E6" s="41"/>
      <c r="F6" s="41"/>
      <c r="G6" s="41"/>
      <c r="H6" s="41"/>
      <c r="I6" s="41"/>
      <c r="J6" s="41"/>
      <c r="K6" s="42"/>
      <c r="M6" s="45" t="s">
        <v>43</v>
      </c>
    </row>
    <row r="7" spans="2:13" ht="18" customHeight="1" x14ac:dyDescent="0.4">
      <c r="B7" s="39"/>
      <c r="C7" s="41"/>
      <c r="D7" s="41"/>
      <c r="E7" s="41"/>
      <c r="F7" s="41"/>
      <c r="G7" s="41"/>
      <c r="H7" s="41"/>
      <c r="I7" s="41"/>
      <c r="J7" s="41"/>
      <c r="K7" s="42"/>
      <c r="M7" s="45" t="s">
        <v>36</v>
      </c>
    </row>
    <row r="8" spans="2:13" ht="18" customHeight="1" x14ac:dyDescent="0.4">
      <c r="B8" s="39"/>
      <c r="C8" s="41"/>
      <c r="D8" s="41"/>
      <c r="E8" s="41"/>
      <c r="F8" s="41"/>
      <c r="G8" s="41"/>
      <c r="H8" s="41"/>
      <c r="I8" s="41"/>
      <c r="J8" s="41"/>
      <c r="K8" s="42"/>
      <c r="M8" s="45"/>
    </row>
    <row r="9" spans="2:13" ht="18" customHeight="1" x14ac:dyDescent="0.4">
      <c r="B9" s="39"/>
      <c r="C9" s="41"/>
      <c r="D9" s="41"/>
      <c r="E9" s="41"/>
      <c r="F9" s="41"/>
      <c r="G9" s="41"/>
      <c r="H9" s="41"/>
      <c r="I9" s="41"/>
      <c r="J9" s="41"/>
      <c r="K9" s="42"/>
    </row>
    <row r="10" spans="2:13" ht="18" customHeight="1" x14ac:dyDescent="0.4">
      <c r="B10" s="39"/>
      <c r="C10" s="41" t="s">
        <v>37</v>
      </c>
      <c r="D10" s="41"/>
      <c r="E10" s="41"/>
      <c r="F10" s="41"/>
      <c r="G10" s="41"/>
      <c r="H10" s="41"/>
      <c r="I10" s="41"/>
      <c r="J10" s="41"/>
      <c r="K10" s="42"/>
    </row>
    <row r="11" spans="2:13" ht="18" customHeight="1" x14ac:dyDescent="0.4">
      <c r="B11" s="39"/>
      <c r="C11" s="41" t="s">
        <v>38</v>
      </c>
      <c r="D11" s="41"/>
      <c r="E11" s="41"/>
      <c r="F11" s="41"/>
      <c r="G11" s="41"/>
      <c r="H11" s="41"/>
      <c r="I11" s="41"/>
      <c r="J11" s="41"/>
      <c r="K11" s="42"/>
    </row>
    <row r="12" spans="2:13" ht="18" customHeight="1" x14ac:dyDescent="0.4">
      <c r="B12" s="39"/>
      <c r="C12" s="41"/>
      <c r="D12" s="41"/>
      <c r="E12" s="41"/>
      <c r="F12" s="41"/>
      <c r="G12" s="41"/>
      <c r="H12" s="41"/>
      <c r="I12" s="41"/>
      <c r="J12" s="41"/>
      <c r="K12" s="42"/>
    </row>
    <row r="13" spans="2:13" ht="18" customHeight="1" x14ac:dyDescent="0.4">
      <c r="B13" s="39"/>
      <c r="C13" s="41"/>
      <c r="D13" s="41"/>
      <c r="E13" s="41"/>
      <c r="F13" s="41"/>
      <c r="G13" s="41"/>
      <c r="H13" s="41"/>
      <c r="I13" s="41"/>
      <c r="J13" s="41"/>
      <c r="K13" s="42"/>
    </row>
    <row r="14" spans="2:13" ht="18" customHeight="1" x14ac:dyDescent="0.4">
      <c r="B14" s="39"/>
      <c r="C14" s="41"/>
      <c r="D14" s="41"/>
      <c r="E14" s="41"/>
      <c r="F14" s="41"/>
      <c r="G14" s="41"/>
      <c r="H14" s="41"/>
      <c r="I14" s="41"/>
      <c r="J14" s="41"/>
      <c r="K14" s="42"/>
    </row>
    <row r="15" spans="2:13" ht="18" customHeight="1" x14ac:dyDescent="0.4">
      <c r="B15" s="39"/>
      <c r="C15" s="41"/>
      <c r="D15" s="41"/>
      <c r="E15" s="41"/>
      <c r="F15" s="41"/>
      <c r="G15" s="41"/>
      <c r="H15" s="41"/>
      <c r="I15" s="41"/>
      <c r="J15" s="41"/>
      <c r="K15" s="42"/>
    </row>
    <row r="16" spans="2:13" ht="18" customHeight="1" x14ac:dyDescent="0.4">
      <c r="B16" s="39"/>
      <c r="C16" s="41"/>
      <c r="D16" s="41"/>
      <c r="E16" s="41"/>
      <c r="F16" s="41"/>
      <c r="G16" s="41"/>
      <c r="H16" s="41"/>
      <c r="I16" s="41"/>
      <c r="J16" s="41"/>
      <c r="K16" s="42"/>
    </row>
    <row r="17" spans="2:11" ht="18" customHeight="1" x14ac:dyDescent="0.4">
      <c r="B17" s="39"/>
      <c r="C17" s="41"/>
      <c r="D17" s="41"/>
      <c r="E17" s="41"/>
      <c r="F17" s="41"/>
      <c r="G17" s="41"/>
      <c r="H17" s="41"/>
      <c r="I17" s="41"/>
      <c r="J17" s="41"/>
      <c r="K17" s="42"/>
    </row>
    <row r="18" spans="2:11" ht="18" customHeight="1" x14ac:dyDescent="0.4">
      <c r="B18" s="39"/>
      <c r="C18" s="41"/>
      <c r="D18" s="41"/>
      <c r="E18" s="41"/>
      <c r="F18" s="41"/>
      <c r="G18" s="41"/>
      <c r="H18" s="41"/>
      <c r="I18" s="41"/>
      <c r="J18" s="41"/>
      <c r="K18" s="42"/>
    </row>
    <row r="19" spans="2:11" ht="18" customHeight="1" x14ac:dyDescent="0.4">
      <c r="B19" s="39"/>
      <c r="C19" s="41"/>
      <c r="D19" s="41"/>
      <c r="E19" s="41"/>
      <c r="F19" s="41"/>
      <c r="G19" s="41"/>
      <c r="H19" s="41"/>
      <c r="I19" s="41"/>
      <c r="J19" s="41"/>
      <c r="K19" s="42"/>
    </row>
    <row r="20" spans="2:11" ht="18" customHeight="1" x14ac:dyDescent="0.4">
      <c r="B20" s="39"/>
      <c r="C20" s="41"/>
      <c r="D20" s="41"/>
      <c r="E20" s="41"/>
      <c r="F20" s="41"/>
      <c r="G20" s="41"/>
      <c r="H20" s="41"/>
      <c r="I20" s="41"/>
      <c r="J20" s="41"/>
      <c r="K20" s="42"/>
    </row>
    <row r="21" spans="2:11" ht="15.75" customHeight="1" thickBot="1" x14ac:dyDescent="0.45">
      <c r="B21" s="47"/>
      <c r="C21" s="48"/>
      <c r="D21" s="48"/>
      <c r="E21" s="48"/>
      <c r="F21" s="48"/>
      <c r="G21" s="48"/>
      <c r="H21" s="48"/>
      <c r="I21" s="48"/>
      <c r="J21" s="48"/>
      <c r="K21" s="49"/>
    </row>
    <row r="22" spans="2:11" ht="18" customHeight="1" x14ac:dyDescent="0.4"/>
    <row r="23" spans="2:11" ht="18" customHeight="1" x14ac:dyDescent="0.4"/>
    <row r="24" spans="2:11" ht="18" customHeight="1" x14ac:dyDescent="0.4"/>
    <row r="25" spans="2:11" ht="18" customHeight="1" x14ac:dyDescent="0.4"/>
    <row r="26" spans="2:11" ht="18" customHeight="1" x14ac:dyDescent="0.4"/>
    <row r="27" spans="2:11" ht="18" customHeight="1" x14ac:dyDescent="0.4"/>
    <row r="28" spans="2:11" ht="18" customHeight="1" x14ac:dyDescent="0.4"/>
  </sheetData>
  <sheetProtection selectLockedCells="1"/>
  <phoneticPr fontId="2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9985" r:id="rId3" name="Button 1">
              <controlPr defaultSize="0" print="0" autoFill="0" autoPict="0" macro="[0]!Login_Click">
                <anchor moveWithCells="1" sizeWithCells="1">
                  <from>
                    <xdr:col>2</xdr:col>
                    <xdr:colOff>133350</xdr:colOff>
                    <xdr:row>6</xdr:row>
                    <xdr:rowOff>161925</xdr:rowOff>
                  </from>
                  <to>
                    <xdr:col>3</xdr:col>
                    <xdr:colOff>523875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86" r:id="rId4" name="Button 2">
              <controlPr defaultSize="0" print="0" autoFill="0" autoPict="0" macro="[0]!GenerateReport_Click">
                <anchor moveWithCells="1" sizeWithCells="1">
                  <from>
                    <xdr:col>2</xdr:col>
                    <xdr:colOff>114300</xdr:colOff>
                    <xdr:row>11</xdr:row>
                    <xdr:rowOff>200025</xdr:rowOff>
                  </from>
                  <to>
                    <xdr:col>4</xdr:col>
                    <xdr:colOff>504825</xdr:colOff>
                    <xdr:row>13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87" r:id="rId5" name="Button 3">
              <controlPr defaultSize="0" print="0" autoFill="0" autoPict="0" macro="[0]!ClearCache_Click">
                <anchor moveWithCells="1" sizeWithCells="1">
                  <from>
                    <xdr:col>6</xdr:col>
                    <xdr:colOff>485775</xdr:colOff>
                    <xdr:row>16</xdr:row>
                    <xdr:rowOff>133350</xdr:rowOff>
                  </from>
                  <to>
                    <xdr:col>8</xdr:col>
                    <xdr:colOff>561975</xdr:colOff>
                    <xdr:row>18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010717-2B71-4A59-91C0-731A6E428649}">
  <sheetPr codeName="Sheet6"/>
  <dimension ref="A1:Z169"/>
  <sheetViews>
    <sheetView showGridLines="0" zoomScale="101" zoomScaleNormal="107" workbookViewId="0">
      <selection sqref="A1:I18"/>
    </sheetView>
  </sheetViews>
  <sheetFormatPr defaultRowHeight="13.9" x14ac:dyDescent="0.4"/>
  <cols>
    <col min="1" max="1" width="39.59765625" bestFit="1" customWidth="1"/>
    <col min="2" max="2" width="67.265625" bestFit="1" customWidth="1"/>
    <col min="3" max="3" width="23" bestFit="1" customWidth="1"/>
    <col min="4" max="4" width="23.1328125" style="50" bestFit="1" customWidth="1"/>
    <col min="5" max="5" width="23.3984375" style="50" bestFit="1" customWidth="1"/>
    <col min="6" max="6" width="17.59765625" style="50" bestFit="1" customWidth="1"/>
    <col min="7" max="7" width="13.3984375" hidden="1" customWidth="1"/>
    <col min="8" max="8" width="23.86328125" hidden="1" customWidth="1"/>
    <col min="9" max="9" width="9.1328125" hidden="1" customWidth="1"/>
  </cols>
  <sheetData>
    <row r="1" spans="1:26" ht="18" customHeight="1" x14ac:dyDescent="0.4">
      <c r="A1" s="51" t="s">
        <v>5</v>
      </c>
      <c r="B1" s="51"/>
      <c r="C1" s="51"/>
      <c r="D1" s="74"/>
      <c r="E1" s="74"/>
      <c r="F1" s="74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</row>
    <row r="2" spans="1:26" ht="15.6" customHeight="1" x14ac:dyDescent="0.4">
      <c r="A2" s="51" t="s">
        <v>155</v>
      </c>
      <c r="B2" s="51"/>
      <c r="C2" s="51"/>
      <c r="D2" s="74"/>
      <c r="E2" s="74"/>
      <c r="F2" s="74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51"/>
    </row>
    <row r="3" spans="1:26" ht="15.6" customHeight="1" x14ac:dyDescent="0.4">
      <c r="A3" s="51" t="s">
        <v>49</v>
      </c>
      <c r="B3" s="51"/>
      <c r="C3" s="51"/>
      <c r="D3" s="74"/>
      <c r="E3" s="74"/>
      <c r="F3" s="74"/>
      <c r="G3" s="51"/>
      <c r="H3" s="51"/>
      <c r="I3" s="51"/>
      <c r="J3" s="51"/>
      <c r="K3" s="51"/>
      <c r="L3" s="51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51"/>
      <c r="Z3" s="51"/>
    </row>
    <row r="4" spans="1:26" ht="13.35" customHeight="1" x14ac:dyDescent="0.4">
      <c r="A4" s="51"/>
      <c r="B4" s="51"/>
      <c r="C4" s="51"/>
      <c r="D4" s="74"/>
      <c r="E4" s="74"/>
      <c r="F4" s="74"/>
      <c r="G4" s="51"/>
      <c r="H4" s="51"/>
      <c r="I4" s="51"/>
      <c r="J4" s="51"/>
      <c r="K4" s="51"/>
      <c r="L4" s="51"/>
      <c r="M4" s="51"/>
      <c r="N4" s="51"/>
      <c r="O4" s="51"/>
      <c r="P4" s="51"/>
      <c r="Q4" s="51"/>
      <c r="R4" s="51"/>
      <c r="S4" s="51"/>
      <c r="T4" s="51"/>
      <c r="U4" s="51"/>
      <c r="V4" s="51"/>
      <c r="W4" s="51"/>
      <c r="X4" s="51"/>
      <c r="Y4" s="51"/>
      <c r="Z4" s="51"/>
    </row>
    <row r="5" spans="1:26" ht="12.95" customHeight="1" x14ac:dyDescent="0.4">
      <c r="A5" t="s">
        <v>41</v>
      </c>
      <c r="B5" t="s">
        <v>15</v>
      </c>
      <c r="C5" t="s">
        <v>6</v>
      </c>
      <c r="D5" s="50" t="s">
        <v>46</v>
      </c>
      <c r="E5" s="50" t="s">
        <v>47</v>
      </c>
      <c r="F5" s="50" t="s">
        <v>48</v>
      </c>
      <c r="G5" t="s">
        <v>39</v>
      </c>
      <c r="H5" t="s">
        <v>40</v>
      </c>
      <c r="I5" t="s">
        <v>44</v>
      </c>
    </row>
    <row r="6" spans="1:26" ht="11.85" customHeight="1" x14ac:dyDescent="0.4">
      <c r="A6" t="s">
        <v>50</v>
      </c>
      <c r="B6" t="s">
        <v>95</v>
      </c>
      <c r="C6" t="s">
        <v>30</v>
      </c>
      <c r="E6" s="50">
        <v>8849.7000000000007</v>
      </c>
      <c r="F6" s="50">
        <v>-146.5</v>
      </c>
      <c r="G6" t="s">
        <v>22</v>
      </c>
      <c r="H6" t="s">
        <v>187</v>
      </c>
      <c r="I6" t="s">
        <v>181</v>
      </c>
    </row>
    <row r="7" spans="1:26" ht="11.85" customHeight="1" x14ac:dyDescent="0.4">
      <c r="A7" t="s">
        <v>173</v>
      </c>
      <c r="B7" t="s">
        <v>89</v>
      </c>
      <c r="C7" t="s">
        <v>2</v>
      </c>
      <c r="E7" s="50">
        <v>4200</v>
      </c>
      <c r="G7" t="s">
        <v>2</v>
      </c>
      <c r="H7" t="s">
        <v>162</v>
      </c>
      <c r="I7" t="s">
        <v>174</v>
      </c>
    </row>
    <row r="8" spans="1:26" ht="11.85" customHeight="1" x14ac:dyDescent="0.4">
      <c r="A8" t="s">
        <v>175</v>
      </c>
      <c r="B8" t="s">
        <v>94</v>
      </c>
      <c r="C8" t="s">
        <v>3</v>
      </c>
      <c r="D8" s="50">
        <v>3600</v>
      </c>
      <c r="G8" t="s">
        <v>21</v>
      </c>
      <c r="H8" t="s">
        <v>164</v>
      </c>
      <c r="I8" t="s">
        <v>176</v>
      </c>
    </row>
    <row r="9" spans="1:26" ht="11.85" customHeight="1" x14ac:dyDescent="0.4">
      <c r="A9" t="s">
        <v>177</v>
      </c>
      <c r="B9" t="s">
        <v>178</v>
      </c>
      <c r="C9" t="s">
        <v>3</v>
      </c>
      <c r="D9" s="50">
        <v>8000</v>
      </c>
      <c r="G9" t="s">
        <v>21</v>
      </c>
      <c r="H9" t="s">
        <v>164</v>
      </c>
      <c r="I9" t="s">
        <v>179</v>
      </c>
    </row>
    <row r="10" spans="1:26" ht="11.85" customHeight="1" x14ac:dyDescent="0.4">
      <c r="A10" t="s">
        <v>158</v>
      </c>
      <c r="B10" t="s">
        <v>159</v>
      </c>
      <c r="C10" t="s">
        <v>3</v>
      </c>
      <c r="D10" s="50">
        <v>512</v>
      </c>
      <c r="G10" t="s">
        <v>21</v>
      </c>
      <c r="H10" t="s">
        <v>164</v>
      </c>
      <c r="I10" t="s">
        <v>180</v>
      </c>
    </row>
    <row r="11" spans="1:26" ht="11.85" customHeight="1" x14ac:dyDescent="0.4">
      <c r="A11" t="s">
        <v>51</v>
      </c>
      <c r="B11" t="s">
        <v>182</v>
      </c>
      <c r="C11" t="s">
        <v>27</v>
      </c>
      <c r="E11" s="50">
        <v>476.79</v>
      </c>
      <c r="F11" s="50">
        <v>-476.79</v>
      </c>
      <c r="G11" t="s">
        <v>26</v>
      </c>
      <c r="H11" t="s">
        <v>165</v>
      </c>
      <c r="I11" t="s">
        <v>183</v>
      </c>
    </row>
    <row r="12" spans="1:26" ht="11.85" customHeight="1" x14ac:dyDescent="0.4">
      <c r="A12" t="s">
        <v>45</v>
      </c>
      <c r="B12" t="s">
        <v>160</v>
      </c>
      <c r="C12" t="s">
        <v>27</v>
      </c>
      <c r="D12" s="50">
        <v>791.2</v>
      </c>
      <c r="G12" t="s">
        <v>26</v>
      </c>
      <c r="H12" t="s">
        <v>165</v>
      </c>
      <c r="I12" t="s">
        <v>184</v>
      </c>
    </row>
    <row r="13" spans="1:26" ht="11.85" customHeight="1" x14ac:dyDescent="0.4">
      <c r="A13" t="s">
        <v>161</v>
      </c>
      <c r="B13" t="s">
        <v>185</v>
      </c>
      <c r="C13" t="s">
        <v>17</v>
      </c>
      <c r="D13" s="50">
        <v>623.29</v>
      </c>
      <c r="F13" s="50">
        <v>623.29</v>
      </c>
      <c r="G13" t="s">
        <v>17</v>
      </c>
      <c r="H13" t="s">
        <v>166</v>
      </c>
      <c r="I13" t="s">
        <v>186</v>
      </c>
    </row>
    <row r="14" spans="1:26" ht="11.85" customHeight="1" x14ac:dyDescent="0.4">
      <c r="A14" t="s">
        <v>22</v>
      </c>
      <c r="C14" t="s">
        <v>163</v>
      </c>
      <c r="H14" t="s">
        <v>163</v>
      </c>
    </row>
    <row r="15" spans="1:26" ht="11.85" customHeight="1" x14ac:dyDescent="0.4">
      <c r="A15" t="s">
        <v>17</v>
      </c>
      <c r="C15" t="s">
        <v>163</v>
      </c>
      <c r="H15" t="s">
        <v>163</v>
      </c>
    </row>
    <row r="16" spans="1:26" ht="11.85" customHeight="1" x14ac:dyDescent="0.4">
      <c r="A16" t="s">
        <v>21</v>
      </c>
      <c r="C16" t="s">
        <v>163</v>
      </c>
      <c r="H16" t="s">
        <v>163</v>
      </c>
    </row>
    <row r="17" spans="1:8" ht="11.85" customHeight="1" x14ac:dyDescent="0.4">
      <c r="A17" t="s">
        <v>26</v>
      </c>
      <c r="C17" t="s">
        <v>163</v>
      </c>
      <c r="H17" t="s">
        <v>163</v>
      </c>
    </row>
    <row r="18" spans="1:8" ht="11.85" customHeight="1" x14ac:dyDescent="0.4">
      <c r="A18" t="s">
        <v>2</v>
      </c>
    </row>
    <row r="19" spans="1:8" ht="11.85" customHeight="1" x14ac:dyDescent="0.4"/>
    <row r="20" spans="1:8" ht="11.85" customHeight="1" x14ac:dyDescent="0.4"/>
    <row r="21" spans="1:8" ht="11.85" customHeight="1" x14ac:dyDescent="0.4"/>
    <row r="22" spans="1:8" ht="11.85" customHeight="1" x14ac:dyDescent="0.4"/>
    <row r="23" spans="1:8" ht="11.25" customHeight="1" x14ac:dyDescent="0.4"/>
    <row r="24" spans="1:8" ht="11.85" customHeight="1" x14ac:dyDescent="0.4"/>
    <row r="25" spans="1:8" ht="11.85" customHeight="1" x14ac:dyDescent="0.4"/>
    <row r="26" spans="1:8" ht="11.85" customHeight="1" x14ac:dyDescent="0.4"/>
    <row r="27" spans="1:8" ht="11.85" customHeight="1" x14ac:dyDescent="0.4"/>
    <row r="28" spans="1:8" ht="11.85" customHeight="1" x14ac:dyDescent="0.4"/>
    <row r="29" spans="1:8" ht="11.85" customHeight="1" x14ac:dyDescent="0.4"/>
    <row r="30" spans="1:8" ht="11.85" customHeight="1" x14ac:dyDescent="0.4"/>
    <row r="31" spans="1:8" ht="11.85" customHeight="1" x14ac:dyDescent="0.4"/>
    <row r="32" spans="1:8" ht="11.85" customHeight="1" x14ac:dyDescent="0.4"/>
    <row r="33" ht="11.85" customHeight="1" x14ac:dyDescent="0.4"/>
    <row r="34" ht="11.85" customHeight="1" x14ac:dyDescent="0.4"/>
    <row r="35" ht="11.85" customHeight="1" x14ac:dyDescent="0.4"/>
    <row r="36" ht="11.85" customHeight="1" x14ac:dyDescent="0.4"/>
    <row r="37" ht="11.85" customHeight="1" x14ac:dyDescent="0.4"/>
    <row r="38" ht="11.85" customHeight="1" x14ac:dyDescent="0.4"/>
    <row r="39" ht="11.85" customHeight="1" x14ac:dyDescent="0.4"/>
    <row r="40" ht="11.85" customHeight="1" x14ac:dyDescent="0.4"/>
    <row r="41" ht="11.85" customHeight="1" x14ac:dyDescent="0.4"/>
    <row r="42" ht="11.85" customHeight="1" x14ac:dyDescent="0.4"/>
    <row r="43" ht="11.85" customHeight="1" x14ac:dyDescent="0.4"/>
    <row r="44" ht="11.85" customHeight="1" x14ac:dyDescent="0.4"/>
    <row r="45" ht="11.85" customHeight="1" x14ac:dyDescent="0.4"/>
    <row r="46" ht="11.85" customHeight="1" x14ac:dyDescent="0.4"/>
    <row r="47" ht="11.85" customHeight="1" x14ac:dyDescent="0.4"/>
    <row r="48" ht="11.85" customHeight="1" x14ac:dyDescent="0.4"/>
    <row r="49" ht="11.85" customHeight="1" x14ac:dyDescent="0.4"/>
    <row r="50" ht="11.85" customHeight="1" x14ac:dyDescent="0.4"/>
    <row r="51" ht="11.85" customHeight="1" x14ac:dyDescent="0.4"/>
    <row r="52" ht="11.85" customHeight="1" x14ac:dyDescent="0.4"/>
    <row r="53" ht="11.85" customHeight="1" x14ac:dyDescent="0.4"/>
    <row r="54" ht="11.85" customHeight="1" x14ac:dyDescent="0.4"/>
    <row r="55" ht="11.85" customHeight="1" x14ac:dyDescent="0.4"/>
    <row r="56" ht="11.85" customHeight="1" x14ac:dyDescent="0.4"/>
    <row r="57" ht="11.85" customHeight="1" x14ac:dyDescent="0.4"/>
    <row r="58" ht="11.85" customHeight="1" x14ac:dyDescent="0.4"/>
    <row r="59" ht="11.85" customHeight="1" x14ac:dyDescent="0.4"/>
    <row r="60" ht="11.85" customHeight="1" x14ac:dyDescent="0.4"/>
    <row r="61" ht="11.85" customHeight="1" x14ac:dyDescent="0.4"/>
    <row r="62" ht="11.85" customHeight="1" x14ac:dyDescent="0.4"/>
    <row r="63" ht="11.85" customHeight="1" x14ac:dyDescent="0.4"/>
    <row r="64" ht="11.85" customHeight="1" x14ac:dyDescent="0.4"/>
    <row r="65" ht="11.85" customHeight="1" x14ac:dyDescent="0.4"/>
    <row r="66" ht="11.85" customHeight="1" x14ac:dyDescent="0.4"/>
    <row r="67" ht="11.85" customHeight="1" x14ac:dyDescent="0.4"/>
    <row r="68" ht="11.85" customHeight="1" x14ac:dyDescent="0.4"/>
    <row r="69" ht="11.85" customHeight="1" x14ac:dyDescent="0.4"/>
    <row r="70" ht="11.85" customHeight="1" x14ac:dyDescent="0.4"/>
    <row r="71" ht="11.85" customHeight="1" x14ac:dyDescent="0.4"/>
    <row r="72" ht="11.85" customHeight="1" x14ac:dyDescent="0.4"/>
    <row r="73" ht="11.85" customHeight="1" x14ac:dyDescent="0.4"/>
    <row r="74" ht="11.85" customHeight="1" x14ac:dyDescent="0.4"/>
    <row r="75" ht="11.85" customHeight="1" x14ac:dyDescent="0.4"/>
    <row r="76" ht="11.85" customHeight="1" x14ac:dyDescent="0.4"/>
    <row r="77" ht="11.85" customHeight="1" x14ac:dyDescent="0.4"/>
    <row r="78" ht="11.85" customHeight="1" x14ac:dyDescent="0.4"/>
    <row r="79" ht="11.85" customHeight="1" x14ac:dyDescent="0.4"/>
    <row r="80" ht="11.85" customHeight="1" x14ac:dyDescent="0.4"/>
    <row r="81" ht="11.85" customHeight="1" x14ac:dyDescent="0.4"/>
    <row r="82" ht="11.85" customHeight="1" x14ac:dyDescent="0.4"/>
    <row r="83" ht="11.85" customHeight="1" x14ac:dyDescent="0.4"/>
    <row r="84" ht="11.85" customHeight="1" x14ac:dyDescent="0.4"/>
    <row r="85" ht="11.85" customHeight="1" x14ac:dyDescent="0.4"/>
    <row r="86" ht="11.85" customHeight="1" x14ac:dyDescent="0.4"/>
    <row r="87" ht="11.85" customHeight="1" x14ac:dyDescent="0.4"/>
    <row r="88" ht="11.85" customHeight="1" x14ac:dyDescent="0.4"/>
    <row r="89" ht="11.85" customHeight="1" x14ac:dyDescent="0.4"/>
    <row r="90" ht="11.85" customHeight="1" x14ac:dyDescent="0.4"/>
    <row r="91" ht="11.85" customHeight="1" x14ac:dyDescent="0.4"/>
    <row r="92" ht="11.85" customHeight="1" x14ac:dyDescent="0.4"/>
    <row r="93" ht="11.85" customHeight="1" x14ac:dyDescent="0.4"/>
    <row r="94" ht="11.85" customHeight="1" x14ac:dyDescent="0.4"/>
    <row r="95" ht="11.85" customHeight="1" x14ac:dyDescent="0.4"/>
    <row r="96" ht="11.85" customHeight="1" x14ac:dyDescent="0.4"/>
    <row r="97" ht="11.85" customHeight="1" x14ac:dyDescent="0.4"/>
    <row r="98" ht="11.85" customHeight="1" x14ac:dyDescent="0.4"/>
    <row r="99" ht="11.85" customHeight="1" x14ac:dyDescent="0.4"/>
    <row r="100" ht="11.85" customHeight="1" x14ac:dyDescent="0.4"/>
    <row r="101" ht="11.85" customHeight="1" x14ac:dyDescent="0.4"/>
    <row r="102" ht="11.85" customHeight="1" x14ac:dyDescent="0.4"/>
    <row r="103" ht="11.85" customHeight="1" x14ac:dyDescent="0.4"/>
    <row r="104" ht="11.85" customHeight="1" x14ac:dyDescent="0.4"/>
    <row r="105" ht="11.85" customHeight="1" x14ac:dyDescent="0.4"/>
    <row r="106" ht="11.85" customHeight="1" x14ac:dyDescent="0.4"/>
    <row r="107" ht="11.85" customHeight="1" x14ac:dyDescent="0.4"/>
    <row r="108" ht="11.85" customHeight="1" x14ac:dyDescent="0.4"/>
    <row r="109" ht="11.85" customHeight="1" x14ac:dyDescent="0.4"/>
    <row r="110" ht="11.85" customHeight="1" x14ac:dyDescent="0.4"/>
    <row r="111" ht="11.85" customHeight="1" x14ac:dyDescent="0.4"/>
    <row r="112" ht="11.85" customHeight="1" x14ac:dyDescent="0.4"/>
    <row r="113" ht="11.85" customHeight="1" x14ac:dyDescent="0.4"/>
    <row r="114" ht="11.85" customHeight="1" x14ac:dyDescent="0.4"/>
    <row r="115" ht="11.85" customHeight="1" x14ac:dyDescent="0.4"/>
    <row r="116" ht="11.85" customHeight="1" x14ac:dyDescent="0.4"/>
    <row r="117" ht="11.85" customHeight="1" x14ac:dyDescent="0.4"/>
    <row r="118" ht="11.85" customHeight="1" x14ac:dyDescent="0.4"/>
    <row r="119" ht="11.85" customHeight="1" x14ac:dyDescent="0.4"/>
    <row r="120" ht="11.85" customHeight="1" x14ac:dyDescent="0.4"/>
    <row r="121" ht="11.85" customHeight="1" x14ac:dyDescent="0.4"/>
    <row r="122" ht="11.85" customHeight="1" x14ac:dyDescent="0.4"/>
    <row r="123" ht="11.85" customHeight="1" x14ac:dyDescent="0.4"/>
    <row r="124" ht="11.85" customHeight="1" x14ac:dyDescent="0.4"/>
    <row r="125" ht="11.85" customHeight="1" x14ac:dyDescent="0.4"/>
    <row r="126" ht="11.85" customHeight="1" x14ac:dyDescent="0.4"/>
    <row r="127" ht="11.85" customHeight="1" x14ac:dyDescent="0.4"/>
    <row r="128" ht="11.85" customHeight="1" x14ac:dyDescent="0.4"/>
    <row r="129" ht="11.85" customHeight="1" x14ac:dyDescent="0.4"/>
    <row r="130" ht="11.85" customHeight="1" x14ac:dyDescent="0.4"/>
    <row r="131" ht="11.85" customHeight="1" x14ac:dyDescent="0.4"/>
    <row r="132" ht="11.85" customHeight="1" x14ac:dyDescent="0.4"/>
    <row r="133" ht="11.85" customHeight="1" x14ac:dyDescent="0.4"/>
    <row r="134" ht="11.85" customHeight="1" x14ac:dyDescent="0.4"/>
    <row r="135" ht="11.85" customHeight="1" x14ac:dyDescent="0.4"/>
    <row r="136" ht="11.85" customHeight="1" x14ac:dyDescent="0.4"/>
    <row r="137" ht="11.85" customHeight="1" x14ac:dyDescent="0.4"/>
    <row r="138" ht="11.85" customHeight="1" x14ac:dyDescent="0.4"/>
    <row r="139" ht="11.85" customHeight="1" x14ac:dyDescent="0.4"/>
    <row r="140" ht="11.85" customHeight="1" x14ac:dyDescent="0.4"/>
    <row r="141" ht="11.85" customHeight="1" x14ac:dyDescent="0.4"/>
    <row r="142" ht="11.85" customHeight="1" x14ac:dyDescent="0.4"/>
    <row r="143" ht="11.85" customHeight="1" x14ac:dyDescent="0.4"/>
    <row r="144" ht="11.85" customHeight="1" x14ac:dyDescent="0.4"/>
    <row r="145" ht="11.85" customHeight="1" x14ac:dyDescent="0.4"/>
    <row r="146" ht="11.85" customHeight="1" x14ac:dyDescent="0.4"/>
    <row r="147" ht="11.85" customHeight="1" x14ac:dyDescent="0.4"/>
    <row r="148" ht="11.85" customHeight="1" x14ac:dyDescent="0.4"/>
    <row r="149" ht="11.85" customHeight="1" x14ac:dyDescent="0.4"/>
    <row r="150" ht="11.85" customHeight="1" x14ac:dyDescent="0.4"/>
    <row r="151" ht="11.85" customHeight="1" x14ac:dyDescent="0.4"/>
    <row r="152" ht="11.85" customHeight="1" x14ac:dyDescent="0.4"/>
    <row r="153" ht="11.85" customHeight="1" x14ac:dyDescent="0.4"/>
    <row r="154" ht="11.85" customHeight="1" x14ac:dyDescent="0.4"/>
    <row r="155" ht="11.85" customHeight="1" x14ac:dyDescent="0.4"/>
    <row r="156" ht="11.85" customHeight="1" x14ac:dyDescent="0.4"/>
    <row r="157" ht="11.85" customHeight="1" x14ac:dyDescent="0.4"/>
    <row r="158" ht="11.85" customHeight="1" x14ac:dyDescent="0.4"/>
    <row r="159" ht="11.85" customHeight="1" x14ac:dyDescent="0.4"/>
    <row r="160" ht="11.85" customHeight="1" x14ac:dyDescent="0.4"/>
    <row r="161" ht="11.85" customHeight="1" x14ac:dyDescent="0.4"/>
    <row r="162" ht="11.85" customHeight="1" x14ac:dyDescent="0.4"/>
    <row r="163" ht="11.85" customHeight="1" x14ac:dyDescent="0.4"/>
    <row r="164" ht="11.85" customHeight="1" x14ac:dyDescent="0.4"/>
    <row r="165" ht="11.85" customHeight="1" x14ac:dyDescent="0.4"/>
    <row r="166" ht="11.85" customHeight="1" x14ac:dyDescent="0.4"/>
    <row r="167" ht="11.85" customHeight="1" x14ac:dyDescent="0.4"/>
    <row r="168" ht="11.85" customHeight="1" x14ac:dyDescent="0.4"/>
    <row r="169" ht="11.85" customHeight="1" x14ac:dyDescent="0.4"/>
  </sheetData>
  <sheetProtection formatCells="0" formatColumns="0" formatRows="0" autoFilter="0" pivotTables="0"/>
  <phoneticPr fontId="19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DE6C3-7BFD-4F8E-A233-46ABE632C493}">
  <sheetPr codeName="Sheet5"/>
  <dimension ref="A1:J31"/>
  <sheetViews>
    <sheetView workbookViewId="0">
      <selection sqref="A1:J1048576"/>
    </sheetView>
  </sheetViews>
  <sheetFormatPr defaultColWidth="9" defaultRowHeight="12.75" x14ac:dyDescent="0.35"/>
  <cols>
    <col min="1" max="1" width="27.3984375" style="3" bestFit="1" customWidth="1"/>
    <col min="2" max="2" width="9" style="3"/>
    <col min="3" max="3" width="20.265625" style="3" bestFit="1" customWidth="1"/>
    <col min="4" max="6" width="9" style="3"/>
    <col min="7" max="7" width="20.73046875" style="3" bestFit="1" customWidth="1"/>
    <col min="8" max="16384" width="9" style="3"/>
  </cols>
  <sheetData>
    <row r="1" spans="1:10" x14ac:dyDescent="0.35">
      <c r="C1" s="34" t="s">
        <v>96</v>
      </c>
      <c r="G1" s="34" t="s">
        <v>96</v>
      </c>
      <c r="I1" s="34" t="s">
        <v>98</v>
      </c>
    </row>
    <row r="2" spans="1:10" ht="13.15" x14ac:dyDescent="0.4">
      <c r="A2" s="33" t="s">
        <v>29</v>
      </c>
      <c r="C2" s="33" t="s">
        <v>81</v>
      </c>
      <c r="G2" s="33" t="s">
        <v>67</v>
      </c>
      <c r="I2" s="34" t="s">
        <v>97</v>
      </c>
      <c r="J2" s="68" t="s">
        <v>99</v>
      </c>
    </row>
    <row r="4" spans="1:10" ht="13.9" x14ac:dyDescent="0.4">
      <c r="A4" s="16" t="s">
        <v>18</v>
      </c>
      <c r="G4" s="4" t="s">
        <v>68</v>
      </c>
    </row>
    <row r="5" spans="1:10" ht="13.9" x14ac:dyDescent="0.4">
      <c r="A5" t="s">
        <v>2</v>
      </c>
      <c r="C5" s="3" t="s">
        <v>2</v>
      </c>
      <c r="G5" s="34" t="s">
        <v>90</v>
      </c>
    </row>
    <row r="6" spans="1:10" ht="13.9" x14ac:dyDescent="0.4">
      <c r="A6" t="s">
        <v>12</v>
      </c>
      <c r="C6" s="3" t="s">
        <v>12</v>
      </c>
      <c r="G6" s="34" t="s">
        <v>92</v>
      </c>
    </row>
    <row r="7" spans="1:10" ht="13.9" x14ac:dyDescent="0.4">
      <c r="A7"/>
      <c r="C7" s="3" t="s">
        <v>8</v>
      </c>
      <c r="G7" s="34" t="s">
        <v>60</v>
      </c>
    </row>
    <row r="8" spans="1:10" ht="13.9" x14ac:dyDescent="0.4">
      <c r="A8" s="16" t="s">
        <v>19</v>
      </c>
      <c r="C8" s="3" t="s">
        <v>7</v>
      </c>
      <c r="G8" s="34" t="s">
        <v>58</v>
      </c>
    </row>
    <row r="9" spans="1:10" ht="13.9" x14ac:dyDescent="0.4">
      <c r="A9" t="s">
        <v>8</v>
      </c>
      <c r="C9" s="3" t="s">
        <v>4</v>
      </c>
      <c r="G9" s="3" t="s">
        <v>66</v>
      </c>
    </row>
    <row r="10" spans="1:10" ht="13.9" x14ac:dyDescent="0.4">
      <c r="A10"/>
      <c r="C10" s="3" t="s">
        <v>3</v>
      </c>
      <c r="G10" s="3" t="s">
        <v>61</v>
      </c>
    </row>
    <row r="11" spans="1:10" ht="13.9" x14ac:dyDescent="0.4">
      <c r="A11" s="16" t="s">
        <v>20</v>
      </c>
      <c r="C11" s="3" t="s">
        <v>9</v>
      </c>
      <c r="G11" s="34" t="s">
        <v>93</v>
      </c>
    </row>
    <row r="12" spans="1:10" ht="13.9" x14ac:dyDescent="0.4">
      <c r="A12" t="s">
        <v>7</v>
      </c>
      <c r="C12" s="3" t="s">
        <v>17</v>
      </c>
      <c r="G12" s="34" t="s">
        <v>80</v>
      </c>
    </row>
    <row r="13" spans="1:10" ht="13.9" x14ac:dyDescent="0.4">
      <c r="A13"/>
      <c r="C13" s="3" t="s">
        <v>23</v>
      </c>
      <c r="G13" s="34"/>
    </row>
    <row r="14" spans="1:10" ht="13.9" x14ac:dyDescent="0.4">
      <c r="A14" s="16" t="s">
        <v>21</v>
      </c>
      <c r="C14" s="3" t="s">
        <v>24</v>
      </c>
      <c r="G14" s="4" t="s">
        <v>69</v>
      </c>
    </row>
    <row r="15" spans="1:10" ht="13.9" x14ac:dyDescent="0.4">
      <c r="A15" t="s">
        <v>4</v>
      </c>
      <c r="C15" s="3" t="s">
        <v>30</v>
      </c>
      <c r="G15" s="3" t="s">
        <v>70</v>
      </c>
    </row>
    <row r="16" spans="1:10" ht="13.9" x14ac:dyDescent="0.4">
      <c r="A16" t="s">
        <v>3</v>
      </c>
      <c r="C16" s="3" t="s">
        <v>25</v>
      </c>
      <c r="G16" s="3" t="s">
        <v>71</v>
      </c>
    </row>
    <row r="17" spans="1:7" ht="13.9" x14ac:dyDescent="0.4">
      <c r="A17" t="s">
        <v>9</v>
      </c>
      <c r="C17" s="3" t="s">
        <v>27</v>
      </c>
      <c r="G17" s="3" t="s">
        <v>72</v>
      </c>
    </row>
    <row r="18" spans="1:7" ht="13.9" x14ac:dyDescent="0.4">
      <c r="A18"/>
      <c r="C18" s="3" t="s">
        <v>1</v>
      </c>
      <c r="G18" s="3" t="s">
        <v>73</v>
      </c>
    </row>
    <row r="19" spans="1:7" ht="13.9" x14ac:dyDescent="0.4">
      <c r="A19" s="16" t="s">
        <v>17</v>
      </c>
      <c r="C19" s="3" t="s">
        <v>28</v>
      </c>
      <c r="G19" s="3" t="s">
        <v>74</v>
      </c>
    </row>
    <row r="20" spans="1:7" ht="13.9" x14ac:dyDescent="0.4">
      <c r="A20" t="s">
        <v>17</v>
      </c>
      <c r="G20" s="3" t="s">
        <v>75</v>
      </c>
    </row>
    <row r="21" spans="1:7" ht="13.9" x14ac:dyDescent="0.4">
      <c r="A21"/>
      <c r="G21" s="3" t="s">
        <v>76</v>
      </c>
    </row>
    <row r="22" spans="1:7" ht="13.9" x14ac:dyDescent="0.4">
      <c r="A22"/>
      <c r="G22" s="3" t="s">
        <v>77</v>
      </c>
    </row>
    <row r="23" spans="1:7" ht="13.9" x14ac:dyDescent="0.4">
      <c r="A23" s="16" t="s">
        <v>22</v>
      </c>
      <c r="G23" s="3" t="s">
        <v>78</v>
      </c>
    </row>
    <row r="24" spans="1:7" ht="13.9" x14ac:dyDescent="0.4">
      <c r="A24" t="s">
        <v>23</v>
      </c>
      <c r="G24" s="3" t="s">
        <v>79</v>
      </c>
    </row>
    <row r="25" spans="1:7" ht="13.9" x14ac:dyDescent="0.4">
      <c r="A25" t="s">
        <v>24</v>
      </c>
      <c r="G25" s="3" t="s">
        <v>62</v>
      </c>
    </row>
    <row r="26" spans="1:7" x14ac:dyDescent="0.35">
      <c r="A26" s="3" t="s">
        <v>30</v>
      </c>
      <c r="G26" s="3" t="s">
        <v>63</v>
      </c>
    </row>
    <row r="27" spans="1:7" ht="13.9" x14ac:dyDescent="0.4">
      <c r="A27" t="s">
        <v>25</v>
      </c>
      <c r="G27" s="3" t="s">
        <v>64</v>
      </c>
    </row>
    <row r="28" spans="1:7" ht="13.9" x14ac:dyDescent="0.4">
      <c r="A28" s="16" t="s">
        <v>26</v>
      </c>
      <c r="G28" s="3" t="s">
        <v>65</v>
      </c>
    </row>
    <row r="29" spans="1:7" ht="13.9" x14ac:dyDescent="0.4">
      <c r="A29" t="s">
        <v>27</v>
      </c>
    </row>
    <row r="30" spans="1:7" ht="13.9" x14ac:dyDescent="0.4">
      <c r="A30" t="s">
        <v>1</v>
      </c>
    </row>
    <row r="31" spans="1:7" ht="13.9" x14ac:dyDescent="0.4">
      <c r="A31" t="s">
        <v>28</v>
      </c>
    </row>
  </sheetData>
  <phoneticPr fontId="19" type="noConversion"/>
  <pageMargins left="0.7" right="0.7" top="0.75" bottom="0.75" header="0.3" footer="0.3"/>
  <pageSetup paperSize="122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158C23-6539-45E1-B3E1-1AC583E09B59}">
  <sheetPr codeName="Sheet48"/>
  <dimension ref="A1:N334"/>
  <sheetViews>
    <sheetView tabSelected="1" zoomScale="63" zoomScaleNormal="60" workbookViewId="0">
      <selection activeCell="G26" sqref="G26"/>
    </sheetView>
  </sheetViews>
  <sheetFormatPr defaultRowHeight="13.9" x14ac:dyDescent="0.4"/>
  <cols>
    <col min="1" max="1" width="18.73046875" customWidth="1"/>
    <col min="2" max="2" width="72.73046875" bestFit="1" customWidth="1"/>
    <col min="3" max="3" width="18.3984375" bestFit="1" customWidth="1"/>
    <col min="4" max="4" width="41" style="18" bestFit="1" customWidth="1"/>
    <col min="5" max="5" width="43.1328125" style="18" customWidth="1"/>
    <col min="6" max="6" width="41.86328125" style="18" customWidth="1"/>
    <col min="7" max="7" width="7.265625" style="69" bestFit="1" customWidth="1"/>
    <col min="8" max="8" width="17.3984375" customWidth="1"/>
    <col min="9" max="9" width="22.53125" customWidth="1"/>
    <col min="10" max="10" width="56.265625" hidden="1" customWidth="1"/>
    <col min="11" max="11" width="104.265625" customWidth="1"/>
    <col min="13" max="14" width="42.73046875" bestFit="1" customWidth="1"/>
  </cols>
  <sheetData>
    <row r="1" spans="1:14" x14ac:dyDescent="0.4">
      <c r="A1" s="52" t="s">
        <v>170</v>
      </c>
      <c r="B1" s="59" t="s">
        <v>169</v>
      </c>
      <c r="E1"/>
      <c r="F1"/>
    </row>
    <row r="2" spans="1:14" x14ac:dyDescent="0.4">
      <c r="A2" s="52"/>
      <c r="B2" s="17"/>
      <c r="E2"/>
      <c r="F2"/>
    </row>
    <row r="3" spans="1:14" x14ac:dyDescent="0.4">
      <c r="A3" s="52" t="s">
        <v>86</v>
      </c>
      <c r="B3" s="17"/>
      <c r="E3"/>
      <c r="F3"/>
    </row>
    <row r="4" spans="1:14" x14ac:dyDescent="0.4">
      <c r="A4" s="55" t="s">
        <v>83</v>
      </c>
      <c r="E4"/>
      <c r="F4"/>
    </row>
    <row r="5" spans="1:14" x14ac:dyDescent="0.4">
      <c r="A5" s="56"/>
      <c r="B5" s="17"/>
      <c r="E5"/>
      <c r="F5"/>
    </row>
    <row r="6" spans="1:14" x14ac:dyDescent="0.4">
      <c r="A6" s="55" t="s">
        <v>84</v>
      </c>
      <c r="D6" s="18" t="s">
        <v>188</v>
      </c>
      <c r="E6"/>
      <c r="F6"/>
    </row>
    <row r="7" spans="1:14" x14ac:dyDescent="0.4">
      <c r="A7" s="56"/>
      <c r="B7" s="52"/>
      <c r="D7"/>
      <c r="E7"/>
      <c r="F7"/>
    </row>
    <row r="8" spans="1:14" x14ac:dyDescent="0.4">
      <c r="A8" s="55" t="s">
        <v>85</v>
      </c>
      <c r="B8" s="4" t="s">
        <v>91</v>
      </c>
      <c r="D8"/>
      <c r="E8"/>
      <c r="F8"/>
    </row>
    <row r="9" spans="1:14" x14ac:dyDescent="0.4">
      <c r="B9" s="4"/>
      <c r="D9"/>
      <c r="E9"/>
      <c r="F9"/>
    </row>
    <row r="10" spans="1:14" x14ac:dyDescent="0.4">
      <c r="A10" s="55" t="s">
        <v>87</v>
      </c>
      <c r="B10" s="4" t="s">
        <v>88</v>
      </c>
      <c r="D10"/>
      <c r="E10"/>
      <c r="F10"/>
    </row>
    <row r="11" spans="1:14" ht="14.25" thickBot="1" x14ac:dyDescent="0.45">
      <c r="A11" s="57"/>
      <c r="B11" s="58"/>
      <c r="C11" s="57"/>
      <c r="D11" s="57"/>
      <c r="E11" s="57"/>
      <c r="F11" s="57"/>
      <c r="G11" s="70"/>
      <c r="H11" s="57"/>
      <c r="I11" s="57"/>
      <c r="J11" s="57"/>
      <c r="K11" s="57"/>
      <c r="L11" s="57"/>
      <c r="M11" s="57"/>
      <c r="N11" s="57"/>
    </row>
    <row r="12" spans="1:14" ht="14.25" thickTop="1" x14ac:dyDescent="0.4">
      <c r="A12" s="4" t="str">
        <f>'Trial Balance Dump'!A1</f>
        <v>Trial Balance</v>
      </c>
      <c r="D12"/>
      <c r="E12"/>
      <c r="F12"/>
    </row>
    <row r="13" spans="1:14" x14ac:dyDescent="0.4">
      <c r="A13" s="4" t="s">
        <v>59</v>
      </c>
      <c r="B13" s="4"/>
      <c r="D13"/>
      <c r="E13"/>
      <c r="F13"/>
    </row>
    <row r="14" spans="1:14" x14ac:dyDescent="0.4">
      <c r="A14" s="4" t="str">
        <f>'Trial Balance Dump'!A3</f>
        <v>As at 30 June 2024</v>
      </c>
      <c r="B14" s="4"/>
      <c r="D14"/>
      <c r="E14"/>
      <c r="F14"/>
    </row>
    <row r="15" spans="1:14" x14ac:dyDescent="0.4">
      <c r="A15" s="4"/>
      <c r="B15" s="4"/>
      <c r="C15" s="4"/>
      <c r="D15" s="4"/>
      <c r="E15"/>
      <c r="F15"/>
    </row>
    <row r="16" spans="1:14" x14ac:dyDescent="0.4">
      <c r="A16" s="4" t="str">
        <f>'Trial Balance Dump'!A5</f>
        <v>Account Number</v>
      </c>
      <c r="B16" s="4" t="str">
        <f>'Trial Balance Dump'!B5</f>
        <v>Account Name</v>
      </c>
      <c r="C16" s="4" t="str">
        <f>'Trial Balance Dump'!C5</f>
        <v>Account Type</v>
      </c>
      <c r="D16" s="4" t="s">
        <v>52</v>
      </c>
      <c r="E16" s="51" t="s">
        <v>53</v>
      </c>
      <c r="F16" s="51" t="s">
        <v>54</v>
      </c>
      <c r="G16" s="71" t="s">
        <v>100</v>
      </c>
      <c r="H16" s="51" t="s">
        <v>82</v>
      </c>
      <c r="I16" s="51" t="s">
        <v>55</v>
      </c>
      <c r="J16" s="51" t="s">
        <v>56</v>
      </c>
      <c r="K16" s="51" t="s">
        <v>57</v>
      </c>
    </row>
    <row r="17" spans="1:11" x14ac:dyDescent="0.4">
      <c r="A17" s="54" t="str" cm="1">
        <f t="array" ref="A17">IF(SUMPRODUCT(--('Trial Balance Dump'!C6=All_Accounts_in_XERO))&gt;0,'Trial Balance Dump'!A6,"")</f>
        <v>090</v>
      </c>
      <c r="B17" s="34" t="str" cm="1">
        <f t="array" ref="B17">IF(SUMPRODUCT(--('Trial Balance Dump'!C6=All_Accounts_in_XERO))&gt;0,'Trial Balance Dump'!B6,"")</f>
        <v>Business Bank Account (090)</v>
      </c>
      <c r="C17" s="34" t="str" cm="1">
        <f t="array" ref="C17">IF(SUMPRODUCT(--('Trial Balance Dump'!C6=All_Accounts_in_XERO))&gt;0,'Trial Balance Dump'!C6,"")</f>
        <v>Bank</v>
      </c>
      <c r="D17" s="60"/>
      <c r="E17" s="64"/>
      <c r="F17" s="65"/>
      <c r="G17" s="69" t="str">
        <f>IF(ISNA(VLOOKUP(E17, I:K, 3, FALSE)), "", IF(VLOOKUP(E17, I:K, 3, FALSE) = "", "", IF(F17 = VLOOKUP(E17, I:K, 3, FALSE), "✓", "")))</f>
        <v/>
      </c>
      <c r="I17" s="53"/>
      <c r="K17" s="65"/>
    </row>
    <row r="18" spans="1:11" x14ac:dyDescent="0.4">
      <c r="A18" s="54" t="str" cm="1">
        <f t="array" ref="A18">IF(SUMPRODUCT(--('Trial Balance Dump'!C7=All_Accounts_in_XERO))&gt;0,'Trial Balance Dump'!A7,"")</f>
        <v>200</v>
      </c>
      <c r="B18" s="34" t="str" cm="1">
        <f t="array" ref="B18">IF(SUMPRODUCT(--('Trial Balance Dump'!C7=All_Accounts_in_XERO))&gt;0,'Trial Balance Dump'!B7,"")</f>
        <v>Sales (200)</v>
      </c>
      <c r="C18" s="34" t="str" cm="1">
        <f t="array" ref="C18">IF(SUMPRODUCT(--('Trial Balance Dump'!C7=All_Accounts_in_XERO))&gt;0,'Trial Balance Dump'!C7,"")</f>
        <v>Revenue</v>
      </c>
      <c r="D18" s="60"/>
      <c r="E18" s="65"/>
      <c r="F18" s="65"/>
      <c r="G18" s="69" t="str">
        <f t="shared" ref="G18:G81" si="0">IF(ISNA(VLOOKUP(E18, I:K, 3, FALSE)), "", IF(VLOOKUP(E18, I:K, 3, FALSE) = "", "", IF(F18 = VLOOKUP(E18, I:K, 3, FALSE), "✓", "")))</f>
        <v/>
      </c>
      <c r="I18" s="53"/>
      <c r="K18" s="65"/>
    </row>
    <row r="19" spans="1:11" x14ac:dyDescent="0.4">
      <c r="A19" s="54" t="str" cm="1">
        <f t="array" ref="A19">IF(SUMPRODUCT(--('Trial Balance Dump'!C8=All_Accounts_in_XERO))&gt;0,'Trial Balance Dump'!A8,"")</f>
        <v>412</v>
      </c>
      <c r="B19" s="34" t="str" cm="1">
        <f t="array" ref="B19">IF(SUMPRODUCT(--('Trial Balance Dump'!C8=All_Accounts_in_XERO))&gt;0,'Trial Balance Dump'!B8,"")</f>
        <v>Consulting &amp; Accounting (412)</v>
      </c>
      <c r="C19" s="34" t="str" cm="1">
        <f t="array" ref="C19">IF(SUMPRODUCT(--('Trial Balance Dump'!C8=All_Accounts_in_XERO))&gt;0,'Trial Balance Dump'!C8,"")</f>
        <v>Expense</v>
      </c>
      <c r="D19" s="60"/>
      <c r="E19" s="65"/>
      <c r="F19" s="65"/>
      <c r="G19" s="69" t="str">
        <f t="shared" si="0"/>
        <v/>
      </c>
      <c r="I19" s="53"/>
      <c r="K19" s="65"/>
    </row>
    <row r="20" spans="1:11" x14ac:dyDescent="0.4">
      <c r="A20" s="54" t="str" cm="1">
        <f t="array" ref="A20">IF(SUMPRODUCT(--('Trial Balance Dump'!C9=All_Accounts_in_XERO))&gt;0,'Trial Balance Dump'!A9,"")</f>
        <v>453</v>
      </c>
      <c r="B20" s="34" t="str" cm="1">
        <f t="array" ref="B20">IF(SUMPRODUCT(--('Trial Balance Dump'!C9=All_Accounts_in_XERO))&gt;0,'Trial Balance Dump'!B9,"")</f>
        <v>Office Expenses (453)</v>
      </c>
      <c r="C20" s="34" t="str" cm="1">
        <f t="array" ref="C20">IF(SUMPRODUCT(--('Trial Balance Dump'!C9=All_Accounts_in_XERO))&gt;0,'Trial Balance Dump'!C9,"")</f>
        <v>Expense</v>
      </c>
      <c r="D20" s="60"/>
      <c r="E20" s="64"/>
      <c r="G20" s="69" t="str">
        <f t="shared" si="0"/>
        <v/>
      </c>
      <c r="I20" s="53"/>
      <c r="K20" s="65"/>
    </row>
    <row r="21" spans="1:11" x14ac:dyDescent="0.4">
      <c r="A21" s="54" t="str" cm="1">
        <f t="array" ref="A21">IF(SUMPRODUCT(--('Trial Balance Dump'!C10=All_Accounts_in_XERO))&gt;0,'Trial Balance Dump'!A10,"")</f>
        <v>461</v>
      </c>
      <c r="B21" s="34" t="str" cm="1">
        <f t="array" ref="B21">IF(SUMPRODUCT(--('Trial Balance Dump'!C10=All_Accounts_in_XERO))&gt;0,'Trial Balance Dump'!B10,"")</f>
        <v>Printing &amp; Stationery (461)</v>
      </c>
      <c r="C21" s="34" t="str" cm="1">
        <f t="array" ref="C21">IF(SUMPRODUCT(--('Trial Balance Dump'!C10=All_Accounts_in_XERO))&gt;0,'Trial Balance Dump'!C10,"")</f>
        <v>Expense</v>
      </c>
      <c r="D21" s="60"/>
      <c r="E21" s="64"/>
      <c r="G21" s="69" t="str">
        <f t="shared" si="0"/>
        <v/>
      </c>
      <c r="I21" s="53"/>
      <c r="K21" s="65"/>
    </row>
    <row r="22" spans="1:11" x14ac:dyDescent="0.4">
      <c r="A22" s="54" t="str" cm="1">
        <f t="array" ref="A22">IF(SUMPRODUCT(--('Trial Balance Dump'!C11=All_Accounts_in_XERO))&gt;0,'Trial Balance Dump'!A11,"")</f>
        <v>800</v>
      </c>
      <c r="B22" s="34" t="str" cm="1">
        <f t="array" ref="B22">IF(SUMPRODUCT(--('Trial Balance Dump'!C11=All_Accounts_in_XERO))&gt;0,'Trial Balance Dump'!B11,"")</f>
        <v>Accounts Payable (800)</v>
      </c>
      <c r="C22" s="34" t="str" cm="1">
        <f t="array" ref="C22">IF(SUMPRODUCT(--('Trial Balance Dump'!C11=All_Accounts_in_XERO))&gt;0,'Trial Balance Dump'!C11,"")</f>
        <v>Current Liability</v>
      </c>
      <c r="D22" s="60"/>
      <c r="E22" s="64"/>
      <c r="G22" s="69" t="str">
        <f t="shared" si="0"/>
        <v/>
      </c>
      <c r="I22" s="53"/>
      <c r="K22" s="65"/>
    </row>
    <row r="23" spans="1:11" x14ac:dyDescent="0.4">
      <c r="A23" s="54" t="str" cm="1">
        <f t="array" ref="A23">IF(SUMPRODUCT(--('Trial Balance Dump'!C12=All_Accounts_in_XERO))&gt;0,'Trial Balance Dump'!A12,"")</f>
        <v>820</v>
      </c>
      <c r="B23" s="34" t="str" cm="1">
        <f t="array" ref="B23">IF(SUMPRODUCT(--('Trial Balance Dump'!C12=All_Accounts_in_XERO))&gt;0,'Trial Balance Dump'!B12,"")</f>
        <v>GST (820)</v>
      </c>
      <c r="C23" s="34" t="str" cm="1">
        <f t="array" ref="C23">IF(SUMPRODUCT(--('Trial Balance Dump'!C12=All_Accounts_in_XERO))&gt;0,'Trial Balance Dump'!C12,"")</f>
        <v>Current Liability</v>
      </c>
      <c r="D23" s="60"/>
      <c r="E23" s="75"/>
      <c r="F23" s="65"/>
      <c r="G23" s="69" t="str">
        <f t="shared" si="0"/>
        <v/>
      </c>
      <c r="I23" s="53"/>
      <c r="K23" s="65"/>
    </row>
    <row r="24" spans="1:11" x14ac:dyDescent="0.4">
      <c r="A24" s="54" t="str" cm="1">
        <f t="array" ref="A24">IF(SUMPRODUCT(--('Trial Balance Dump'!C13=All_Accounts_in_XERO))&gt;0,'Trial Balance Dump'!A13,"")</f>
        <v>960</v>
      </c>
      <c r="B24" s="34" t="str" cm="1">
        <f t="array" ref="B24">IF(SUMPRODUCT(--('Trial Balance Dump'!C13=All_Accounts_in_XERO))&gt;0,'Trial Balance Dump'!B13,"")</f>
        <v>Retained Earnings (960)</v>
      </c>
      <c r="C24" s="34" t="str" cm="1">
        <f t="array" ref="C24">IF(SUMPRODUCT(--('Trial Balance Dump'!C13=All_Accounts_in_XERO))&gt;0,'Trial Balance Dump'!C13,"")</f>
        <v>Equity</v>
      </c>
      <c r="D24" s="60"/>
      <c r="E24" s="64"/>
      <c r="G24" s="69" t="str">
        <f t="shared" si="0"/>
        <v/>
      </c>
      <c r="I24" s="53"/>
      <c r="K24" s="65"/>
    </row>
    <row r="25" spans="1:11" x14ac:dyDescent="0.4">
      <c r="A25" s="54" t="str" cm="1">
        <f t="array" ref="A25">IF(SUMPRODUCT(--('Trial Balance Dump'!C14=All_Accounts_in_XERO))&gt;0,'Trial Balance Dump'!A14,"")</f>
        <v/>
      </c>
      <c r="B25" s="34" t="str" cm="1">
        <f t="array" ref="B25">IF(SUMPRODUCT(--('Trial Balance Dump'!C14=All_Accounts_in_XERO))&gt;0,'Trial Balance Dump'!B14,"")</f>
        <v/>
      </c>
      <c r="C25" s="34" t="str" cm="1">
        <f t="array" ref="C25">IF(SUMPRODUCT(--('Trial Balance Dump'!C14=All_Accounts_in_XERO))&gt;0,'Trial Balance Dump'!C14,"")</f>
        <v/>
      </c>
      <c r="D25" s="60"/>
      <c r="E25" s="64"/>
      <c r="G25" s="69" t="str">
        <f t="shared" si="0"/>
        <v/>
      </c>
      <c r="I25" s="53"/>
      <c r="K25" s="65"/>
    </row>
    <row r="26" spans="1:11" x14ac:dyDescent="0.4">
      <c r="A26" s="54" t="str" cm="1">
        <f t="array" ref="A26">IF(SUMPRODUCT(--('Trial Balance Dump'!C15=All_Accounts_in_XERO))&gt;0,'Trial Balance Dump'!A15,"")</f>
        <v/>
      </c>
      <c r="B26" s="34" t="str" cm="1">
        <f t="array" ref="B26">IF(SUMPRODUCT(--('Trial Balance Dump'!C15=All_Accounts_in_XERO))&gt;0,'Trial Balance Dump'!B15,"")</f>
        <v/>
      </c>
      <c r="C26" s="34" t="str" cm="1">
        <f t="array" ref="C26">IF(SUMPRODUCT(--('Trial Balance Dump'!C15=All_Accounts_in_XERO))&gt;0,'Trial Balance Dump'!C15,"")</f>
        <v/>
      </c>
      <c r="D26" s="60"/>
      <c r="E26" s="63"/>
      <c r="G26" s="69" t="str">
        <f t="shared" si="0"/>
        <v/>
      </c>
      <c r="I26" s="53"/>
      <c r="K26" s="65"/>
    </row>
    <row r="27" spans="1:11" x14ac:dyDescent="0.4">
      <c r="A27" s="54" t="str" cm="1">
        <f t="array" ref="A27">IF(SUMPRODUCT(--('Trial Balance Dump'!C16=All_Accounts_in_XERO))&gt;0,'Trial Balance Dump'!A16,"")</f>
        <v/>
      </c>
      <c r="B27" s="34" t="str" cm="1">
        <f t="array" ref="B27">IF(SUMPRODUCT(--('Trial Balance Dump'!C16=All_Accounts_in_XERO))&gt;0,'Trial Balance Dump'!B16,"")</f>
        <v/>
      </c>
      <c r="C27" s="34" t="str" cm="1">
        <f t="array" ref="C27">IF(SUMPRODUCT(--('Trial Balance Dump'!C16=All_Accounts_in_XERO))&gt;0,'Trial Balance Dump'!C16,"")</f>
        <v/>
      </c>
      <c r="D27" s="60"/>
      <c r="E27" s="64"/>
      <c r="G27" s="69" t="str">
        <f t="shared" si="0"/>
        <v/>
      </c>
      <c r="I27" s="53"/>
      <c r="K27" s="65"/>
    </row>
    <row r="28" spans="1:11" x14ac:dyDescent="0.4">
      <c r="A28" s="54" t="str" cm="1">
        <f t="array" ref="A28">IF(SUMPRODUCT(--('Trial Balance Dump'!C17=All_Accounts_in_XERO))&gt;0,'Trial Balance Dump'!A17,"")</f>
        <v/>
      </c>
      <c r="B28" s="34" t="str" cm="1">
        <f t="array" ref="B28">IF(SUMPRODUCT(--('Trial Balance Dump'!C17=All_Accounts_in_XERO))&gt;0,'Trial Balance Dump'!B17,"")</f>
        <v/>
      </c>
      <c r="C28" s="34" t="str" cm="1">
        <f t="array" ref="C28">IF(SUMPRODUCT(--('Trial Balance Dump'!C17=All_Accounts_in_XERO))&gt;0,'Trial Balance Dump'!C17,"")</f>
        <v/>
      </c>
      <c r="D28" s="60"/>
      <c r="E28" s="64"/>
      <c r="F28" s="65"/>
      <c r="G28" s="69" t="str">
        <f t="shared" si="0"/>
        <v/>
      </c>
      <c r="I28" s="53"/>
      <c r="K28" s="65"/>
    </row>
    <row r="29" spans="1:11" x14ac:dyDescent="0.4">
      <c r="A29" s="54" t="str" cm="1">
        <f t="array" ref="A29">IF(SUMPRODUCT(--('Trial Balance Dump'!C18=All_Accounts_in_XERO))&gt;0,'Trial Balance Dump'!A18,"")</f>
        <v/>
      </c>
      <c r="B29" s="34" t="str" cm="1">
        <f t="array" ref="B29">IF(SUMPRODUCT(--('Trial Balance Dump'!C18=All_Accounts_in_XERO))&gt;0,'Trial Balance Dump'!B18,"")</f>
        <v/>
      </c>
      <c r="C29" s="34" t="str" cm="1">
        <f t="array" ref="C29">IF(SUMPRODUCT(--('Trial Balance Dump'!C18=All_Accounts_in_XERO))&gt;0,'Trial Balance Dump'!C18,"")</f>
        <v/>
      </c>
      <c r="D29" s="60"/>
      <c r="E29" s="64"/>
      <c r="G29" s="69" t="str">
        <f t="shared" si="0"/>
        <v/>
      </c>
      <c r="I29" s="53"/>
      <c r="K29" s="67"/>
    </row>
    <row r="30" spans="1:11" x14ac:dyDescent="0.4">
      <c r="A30" s="54" t="str" cm="1">
        <f t="array" ref="A30">IF(SUMPRODUCT(--('Trial Balance Dump'!C19=All_Accounts_in_XERO))&gt;0,'Trial Balance Dump'!A19,"")</f>
        <v/>
      </c>
      <c r="B30" s="34" t="str" cm="1">
        <f t="array" ref="B30">IF(SUMPRODUCT(--('Trial Balance Dump'!C19=All_Accounts_in_XERO))&gt;0,'Trial Balance Dump'!B19,"")</f>
        <v/>
      </c>
      <c r="C30" s="34" t="str" cm="1">
        <f t="array" ref="C30">IF(SUMPRODUCT(--('Trial Balance Dump'!C19=All_Accounts_in_XERO))&gt;0,'Trial Balance Dump'!C19,"")</f>
        <v/>
      </c>
      <c r="D30" s="60"/>
      <c r="E30" s="64"/>
      <c r="G30" s="69" t="str">
        <f t="shared" si="0"/>
        <v/>
      </c>
      <c r="I30" s="53"/>
      <c r="K30" s="67"/>
    </row>
    <row r="31" spans="1:11" x14ac:dyDescent="0.4">
      <c r="A31" s="54" t="str" cm="1">
        <f t="array" ref="A31">IF(SUMPRODUCT(--('Trial Balance Dump'!C20=All_Accounts_in_XERO))&gt;0,'Trial Balance Dump'!A20,"")</f>
        <v/>
      </c>
      <c r="B31" s="34" t="str" cm="1">
        <f t="array" ref="B31">IF(SUMPRODUCT(--('Trial Balance Dump'!C20=All_Accounts_in_XERO))&gt;0,'Trial Balance Dump'!B20,"")</f>
        <v/>
      </c>
      <c r="C31" s="34" t="str" cm="1">
        <f t="array" ref="C31">IF(SUMPRODUCT(--('Trial Balance Dump'!C20=All_Accounts_in_XERO))&gt;0,'Trial Balance Dump'!C20,"")</f>
        <v/>
      </c>
      <c r="D31" s="60"/>
      <c r="E31" s="64"/>
      <c r="G31" s="69" t="str">
        <f t="shared" si="0"/>
        <v/>
      </c>
      <c r="I31" s="53"/>
      <c r="K31" s="67"/>
    </row>
    <row r="32" spans="1:11" x14ac:dyDescent="0.4">
      <c r="A32" s="54" t="str" cm="1">
        <f t="array" ref="A32">IF(SUMPRODUCT(--('Trial Balance Dump'!C21=All_Accounts_in_XERO))&gt;0,'Trial Balance Dump'!A21,"")</f>
        <v/>
      </c>
      <c r="B32" s="34" t="str" cm="1">
        <f t="array" ref="B32">IF(SUMPRODUCT(--('Trial Balance Dump'!C21=All_Accounts_in_XERO))&gt;0,'Trial Balance Dump'!B21,"")</f>
        <v/>
      </c>
      <c r="C32" s="34" t="str" cm="1">
        <f t="array" ref="C32">IF(SUMPRODUCT(--('Trial Balance Dump'!C21=All_Accounts_in_XERO))&gt;0,'Trial Balance Dump'!C21,"")</f>
        <v/>
      </c>
      <c r="D32" s="60"/>
      <c r="E32" s="64"/>
      <c r="F32" s="65"/>
      <c r="G32" s="69" t="str">
        <f t="shared" si="0"/>
        <v/>
      </c>
      <c r="I32" s="53"/>
    </row>
    <row r="33" spans="1:11" x14ac:dyDescent="0.4">
      <c r="A33" s="54" t="str" cm="1">
        <f t="array" ref="A33">IF(SUMPRODUCT(--('Trial Balance Dump'!C22=All_Accounts_in_XERO))&gt;0,'Trial Balance Dump'!A22,"")</f>
        <v/>
      </c>
      <c r="B33" s="34" t="str" cm="1">
        <f t="array" ref="B33">IF(SUMPRODUCT(--('Trial Balance Dump'!C22=All_Accounts_in_XERO))&gt;0,'Trial Balance Dump'!B22,"")</f>
        <v/>
      </c>
      <c r="C33" s="34" t="str" cm="1">
        <f t="array" ref="C33">IF(SUMPRODUCT(--('Trial Balance Dump'!C22=All_Accounts_in_XERO))&gt;0,'Trial Balance Dump'!C22,"")</f>
        <v/>
      </c>
      <c r="D33" s="60"/>
      <c r="E33" s="64"/>
      <c r="G33" s="69" t="str">
        <f t="shared" si="0"/>
        <v/>
      </c>
      <c r="I33" s="53"/>
      <c r="K33" s="67"/>
    </row>
    <row r="34" spans="1:11" x14ac:dyDescent="0.4">
      <c r="A34" s="54" t="str" cm="1">
        <f t="array" ref="A34">IF(SUMPRODUCT(--('Trial Balance Dump'!C23=All_Accounts_in_XERO))&gt;0,'Trial Balance Dump'!A23,"")</f>
        <v/>
      </c>
      <c r="B34" s="34" t="str" cm="1">
        <f t="array" ref="B34">IF(SUMPRODUCT(--('Trial Balance Dump'!C23=All_Accounts_in_XERO))&gt;0,'Trial Balance Dump'!B23,"")</f>
        <v/>
      </c>
      <c r="C34" s="34" t="str" cm="1">
        <f t="array" ref="C34">IF(SUMPRODUCT(--('Trial Balance Dump'!C23=All_Accounts_in_XERO))&gt;0,'Trial Balance Dump'!C23,"")</f>
        <v/>
      </c>
      <c r="D34" s="60"/>
      <c r="E34" s="64"/>
      <c r="G34" s="69" t="str">
        <f t="shared" si="0"/>
        <v/>
      </c>
      <c r="I34" s="53"/>
      <c r="K34" s="67"/>
    </row>
    <row r="35" spans="1:11" x14ac:dyDescent="0.4">
      <c r="A35" s="54" t="str" cm="1">
        <f t="array" ref="A35">IF(SUMPRODUCT(--('Trial Balance Dump'!C24=All_Accounts_in_XERO))&gt;0,'Trial Balance Dump'!A24,"")</f>
        <v/>
      </c>
      <c r="B35" s="34" t="str" cm="1">
        <f t="array" ref="B35">IF(SUMPRODUCT(--('Trial Balance Dump'!C24=All_Accounts_in_XERO))&gt;0,'Trial Balance Dump'!B24,"")</f>
        <v/>
      </c>
      <c r="C35" s="34" t="str" cm="1">
        <f t="array" ref="C35">IF(SUMPRODUCT(--('Trial Balance Dump'!C24=All_Accounts_in_XERO))&gt;0,'Trial Balance Dump'!C24,"")</f>
        <v/>
      </c>
      <c r="D35" s="60"/>
      <c r="E35" s="64"/>
      <c r="G35" s="69" t="str">
        <f t="shared" si="0"/>
        <v/>
      </c>
      <c r="K35" s="67"/>
    </row>
    <row r="36" spans="1:11" x14ac:dyDescent="0.4">
      <c r="A36" s="54" t="str" cm="1">
        <f t="array" ref="A36">IF(SUMPRODUCT(--('Trial Balance Dump'!C25=All_Accounts_in_XERO))&gt;0,'Trial Balance Dump'!A25,"")</f>
        <v/>
      </c>
      <c r="B36" s="34" t="str" cm="1">
        <f t="array" ref="B36">IF(SUMPRODUCT(--('Trial Balance Dump'!C25=All_Accounts_in_XERO))&gt;0,'Trial Balance Dump'!B25,"")</f>
        <v/>
      </c>
      <c r="C36" s="34" t="str" cm="1">
        <f t="array" ref="C36">IF(SUMPRODUCT(--('Trial Balance Dump'!C25=All_Accounts_in_XERO))&gt;0,'Trial Balance Dump'!C25,"")</f>
        <v/>
      </c>
      <c r="D36" s="60"/>
      <c r="E36" s="64"/>
      <c r="G36" s="69" t="str">
        <f t="shared" si="0"/>
        <v/>
      </c>
      <c r="K36" s="67"/>
    </row>
    <row r="37" spans="1:11" x14ac:dyDescent="0.4">
      <c r="A37" s="54" t="str" cm="1">
        <f t="array" ref="A37">IF(SUMPRODUCT(--('Trial Balance Dump'!C26=All_Accounts_in_XERO))&gt;0,'Trial Balance Dump'!A26,"")</f>
        <v/>
      </c>
      <c r="B37" s="34" t="str" cm="1">
        <f t="array" ref="B37">IF(SUMPRODUCT(--('Trial Balance Dump'!C26=All_Accounts_in_XERO))&gt;0,'Trial Balance Dump'!B26,"")</f>
        <v/>
      </c>
      <c r="C37" s="34" t="str" cm="1">
        <f t="array" ref="C37">IF(SUMPRODUCT(--('Trial Balance Dump'!C26=All_Accounts_in_XERO))&gt;0,'Trial Balance Dump'!C26,"")</f>
        <v/>
      </c>
      <c r="D37" s="60"/>
      <c r="E37" s="64"/>
      <c r="G37" s="69" t="str">
        <f t="shared" si="0"/>
        <v/>
      </c>
      <c r="K37" s="67"/>
    </row>
    <row r="38" spans="1:11" x14ac:dyDescent="0.4">
      <c r="A38" s="54" t="str" cm="1">
        <f t="array" ref="A38">IF(SUMPRODUCT(--('Trial Balance Dump'!C27=All_Accounts_in_XERO))&gt;0,'Trial Balance Dump'!A27,"")</f>
        <v/>
      </c>
      <c r="B38" s="34" t="str" cm="1">
        <f t="array" ref="B38">IF(SUMPRODUCT(--('Trial Balance Dump'!C27=All_Accounts_in_XERO))&gt;0,'Trial Balance Dump'!B27,"")</f>
        <v/>
      </c>
      <c r="C38" s="34" t="str" cm="1">
        <f t="array" ref="C38">IF(SUMPRODUCT(--('Trial Balance Dump'!C27=All_Accounts_in_XERO))&gt;0,'Trial Balance Dump'!C27,"")</f>
        <v/>
      </c>
      <c r="D38" s="60"/>
      <c r="E38" s="64"/>
      <c r="G38" s="69" t="str">
        <f t="shared" si="0"/>
        <v/>
      </c>
      <c r="K38" s="67"/>
    </row>
    <row r="39" spans="1:11" x14ac:dyDescent="0.4">
      <c r="A39" s="54" t="str" cm="1">
        <f t="array" ref="A39">IF(SUMPRODUCT(--('Trial Balance Dump'!C28=All_Accounts_in_XERO))&gt;0,'Trial Balance Dump'!A28,"")</f>
        <v/>
      </c>
      <c r="B39" s="34" t="str" cm="1">
        <f t="array" ref="B39">IF(SUMPRODUCT(--('Trial Balance Dump'!C28=All_Accounts_in_XERO))&gt;0,'Trial Balance Dump'!B28,"")</f>
        <v/>
      </c>
      <c r="C39" s="34" t="str" cm="1">
        <f t="array" ref="C39">IF(SUMPRODUCT(--('Trial Balance Dump'!C28=All_Accounts_in_XERO))&gt;0,'Trial Balance Dump'!C28,"")</f>
        <v/>
      </c>
      <c r="D39" s="60"/>
      <c r="E39" s="64"/>
      <c r="G39" s="69" t="str">
        <f t="shared" si="0"/>
        <v/>
      </c>
      <c r="K39" s="67"/>
    </row>
    <row r="40" spans="1:11" x14ac:dyDescent="0.4">
      <c r="A40" s="54" t="str" cm="1">
        <f t="array" ref="A40">IF(SUMPRODUCT(--('Trial Balance Dump'!C29=All_Accounts_in_XERO))&gt;0,'Trial Balance Dump'!A29,"")</f>
        <v/>
      </c>
      <c r="B40" s="34" t="str" cm="1">
        <f t="array" ref="B40">IF(SUMPRODUCT(--('Trial Balance Dump'!C29=All_Accounts_in_XERO))&gt;0,'Trial Balance Dump'!B29,"")</f>
        <v/>
      </c>
      <c r="C40" s="34" t="str" cm="1">
        <f t="array" ref="C40">IF(SUMPRODUCT(--('Trial Balance Dump'!C29=All_Accounts_in_XERO))&gt;0,'Trial Balance Dump'!C29,"")</f>
        <v/>
      </c>
      <c r="D40" s="60"/>
      <c r="E40" s="64"/>
      <c r="G40" s="69" t="str">
        <f t="shared" si="0"/>
        <v/>
      </c>
      <c r="K40" s="67"/>
    </row>
    <row r="41" spans="1:11" x14ac:dyDescent="0.4">
      <c r="A41" s="54" t="str" cm="1">
        <f t="array" ref="A41">IF(SUMPRODUCT(--('Trial Balance Dump'!C30=All_Accounts_in_XERO))&gt;0,'Trial Balance Dump'!A30,"")</f>
        <v/>
      </c>
      <c r="B41" s="34" t="str" cm="1">
        <f t="array" ref="B41">IF(SUMPRODUCT(--('Trial Balance Dump'!C30=All_Accounts_in_XERO))&gt;0,'Trial Balance Dump'!B30,"")</f>
        <v/>
      </c>
      <c r="C41" s="34" t="str" cm="1">
        <f t="array" ref="C41">IF(SUMPRODUCT(--('Trial Balance Dump'!C30=All_Accounts_in_XERO))&gt;0,'Trial Balance Dump'!C30,"")</f>
        <v/>
      </c>
      <c r="D41" s="60"/>
      <c r="E41" s="64"/>
      <c r="G41" s="69" t="str">
        <f t="shared" si="0"/>
        <v/>
      </c>
      <c r="K41" s="67"/>
    </row>
    <row r="42" spans="1:11" x14ac:dyDescent="0.4">
      <c r="A42" s="54" t="str" cm="1">
        <f t="array" ref="A42">IF(SUMPRODUCT(--('Trial Balance Dump'!C31=All_Accounts_in_XERO))&gt;0,'Trial Balance Dump'!A31,"")</f>
        <v/>
      </c>
      <c r="B42" s="34" t="str" cm="1">
        <f t="array" ref="B42">IF(SUMPRODUCT(--('Trial Balance Dump'!C31=All_Accounts_in_XERO))&gt;0,'Trial Balance Dump'!B31,"")</f>
        <v/>
      </c>
      <c r="C42" s="34" t="str" cm="1">
        <f t="array" ref="C42">IF(SUMPRODUCT(--('Trial Balance Dump'!C31=All_Accounts_in_XERO))&gt;0,'Trial Balance Dump'!C31,"")</f>
        <v/>
      </c>
      <c r="D42" s="60"/>
      <c r="E42" s="64"/>
      <c r="G42" s="69" t="str">
        <f t="shared" si="0"/>
        <v/>
      </c>
      <c r="K42" s="67"/>
    </row>
    <row r="43" spans="1:11" x14ac:dyDescent="0.4">
      <c r="A43" s="54" t="str" cm="1">
        <f t="array" ref="A43">IF(SUMPRODUCT(--('Trial Balance Dump'!C32=All_Accounts_in_XERO))&gt;0,'Trial Balance Dump'!A32,"")</f>
        <v/>
      </c>
      <c r="B43" s="34" t="str" cm="1">
        <f t="array" ref="B43">IF(SUMPRODUCT(--('Trial Balance Dump'!C32=All_Accounts_in_XERO))&gt;0,'Trial Balance Dump'!B32,"")</f>
        <v/>
      </c>
      <c r="C43" s="34" t="str" cm="1">
        <f t="array" ref="C43">IF(SUMPRODUCT(--('Trial Balance Dump'!C32=All_Accounts_in_XERO))&gt;0,'Trial Balance Dump'!C32,"")</f>
        <v/>
      </c>
      <c r="D43" s="60"/>
      <c r="E43" s="64"/>
      <c r="G43" s="69" t="str">
        <f t="shared" si="0"/>
        <v/>
      </c>
      <c r="K43" s="67"/>
    </row>
    <row r="44" spans="1:11" x14ac:dyDescent="0.4">
      <c r="A44" s="54" t="str" cm="1">
        <f t="array" ref="A44">IF(SUMPRODUCT(--('Trial Balance Dump'!C33=All_Accounts_in_XERO))&gt;0,'Trial Balance Dump'!A33,"")</f>
        <v/>
      </c>
      <c r="B44" s="34" t="str" cm="1">
        <f t="array" ref="B44">IF(SUMPRODUCT(--('Trial Balance Dump'!C33=All_Accounts_in_XERO))&gt;0,'Trial Balance Dump'!B33,"")</f>
        <v/>
      </c>
      <c r="C44" s="34" t="str" cm="1">
        <f t="array" ref="C44">IF(SUMPRODUCT(--('Trial Balance Dump'!C33=All_Accounts_in_XERO))&gt;0,'Trial Balance Dump'!C33,"")</f>
        <v/>
      </c>
      <c r="D44" s="60"/>
      <c r="E44" s="64"/>
      <c r="G44" s="69" t="str">
        <f t="shared" si="0"/>
        <v/>
      </c>
      <c r="K44" s="67"/>
    </row>
    <row r="45" spans="1:11" x14ac:dyDescent="0.4">
      <c r="A45" s="54" t="str" cm="1">
        <f t="array" ref="A45">IF(SUMPRODUCT(--('Trial Balance Dump'!C34=All_Accounts_in_XERO))&gt;0,'Trial Balance Dump'!A34,"")</f>
        <v/>
      </c>
      <c r="B45" s="34" t="str" cm="1">
        <f t="array" ref="B45">IF(SUMPRODUCT(--('Trial Balance Dump'!C34=All_Accounts_in_XERO))&gt;0,'Trial Balance Dump'!B34,"")</f>
        <v/>
      </c>
      <c r="C45" s="34" t="str" cm="1">
        <f t="array" ref="C45">IF(SUMPRODUCT(--('Trial Balance Dump'!C34=All_Accounts_in_XERO))&gt;0,'Trial Balance Dump'!C34,"")</f>
        <v/>
      </c>
      <c r="D45" s="60"/>
      <c r="E45" s="64"/>
      <c r="G45" s="69" t="str">
        <f t="shared" si="0"/>
        <v/>
      </c>
      <c r="K45" s="67"/>
    </row>
    <row r="46" spans="1:11" x14ac:dyDescent="0.4">
      <c r="A46" s="54" t="str" cm="1">
        <f t="array" ref="A46">IF(SUMPRODUCT(--('Trial Balance Dump'!C35=All_Accounts_in_XERO))&gt;0,'Trial Balance Dump'!A35,"")</f>
        <v/>
      </c>
      <c r="B46" s="34" t="str" cm="1">
        <f t="array" ref="B46">IF(SUMPRODUCT(--('Trial Balance Dump'!C35=All_Accounts_in_XERO))&gt;0,'Trial Balance Dump'!B35,"")</f>
        <v/>
      </c>
      <c r="C46" s="34" t="str" cm="1">
        <f t="array" ref="C46">IF(SUMPRODUCT(--('Trial Balance Dump'!C35=All_Accounts_in_XERO))&gt;0,'Trial Balance Dump'!C35,"")</f>
        <v/>
      </c>
      <c r="D46" s="60"/>
      <c r="E46" s="65"/>
      <c r="F46" s="65"/>
      <c r="G46" s="69" t="str">
        <f t="shared" si="0"/>
        <v/>
      </c>
    </row>
    <row r="47" spans="1:11" x14ac:dyDescent="0.4">
      <c r="A47" s="54" t="str" cm="1">
        <f t="array" ref="A47">IF(SUMPRODUCT(--('Trial Balance Dump'!C36=All_Accounts_in_XERO))&gt;0,'Trial Balance Dump'!A36,"")</f>
        <v/>
      </c>
      <c r="B47" s="34" t="str" cm="1">
        <f t="array" ref="B47">IF(SUMPRODUCT(--('Trial Balance Dump'!C36=All_Accounts_in_XERO))&gt;0,'Trial Balance Dump'!B36,"")</f>
        <v/>
      </c>
      <c r="C47" s="34" t="str" cm="1">
        <f t="array" ref="C47">IF(SUMPRODUCT(--('Trial Balance Dump'!C36=All_Accounts_in_XERO))&gt;0,'Trial Balance Dump'!C36,"")</f>
        <v/>
      </c>
      <c r="D47" s="60"/>
      <c r="E47" s="66"/>
      <c r="F47" s="65"/>
      <c r="G47" s="69" t="str">
        <f t="shared" si="0"/>
        <v/>
      </c>
    </row>
    <row r="48" spans="1:11" x14ac:dyDescent="0.4">
      <c r="A48" s="54" t="str" cm="1">
        <f t="array" ref="A48">IF(SUMPRODUCT(--('Trial Balance Dump'!C37=All_Accounts_in_XERO))&gt;0,'Trial Balance Dump'!A37,"")</f>
        <v/>
      </c>
      <c r="B48" s="34" t="str" cm="1">
        <f t="array" ref="B48">IF(SUMPRODUCT(--('Trial Balance Dump'!C37=All_Accounts_in_XERO))&gt;0,'Trial Balance Dump'!B37,"")</f>
        <v/>
      </c>
      <c r="C48" s="34" t="str" cm="1">
        <f t="array" ref="C48">IF(SUMPRODUCT(--('Trial Balance Dump'!C37=All_Accounts_in_XERO))&gt;0,'Trial Balance Dump'!C37,"")</f>
        <v/>
      </c>
      <c r="D48" s="60"/>
      <c r="E48" s="63"/>
      <c r="F48" s="65"/>
      <c r="G48" s="69" t="str">
        <f t="shared" si="0"/>
        <v/>
      </c>
    </row>
    <row r="49" spans="1:7" x14ac:dyDescent="0.4">
      <c r="A49" s="54" t="str" cm="1">
        <f t="array" ref="A49">IF(SUMPRODUCT(--('Trial Balance Dump'!C38=All_Accounts_in_XERO))&gt;0,'Trial Balance Dump'!A38,"")</f>
        <v/>
      </c>
      <c r="B49" s="34" t="str" cm="1">
        <f t="array" ref="B49">IF(SUMPRODUCT(--('Trial Balance Dump'!C38=All_Accounts_in_XERO))&gt;0,'Trial Balance Dump'!B38,"")</f>
        <v/>
      </c>
      <c r="C49" s="34" t="str" cm="1">
        <f t="array" ref="C49">IF(SUMPRODUCT(--('Trial Balance Dump'!C38=All_Accounts_in_XERO))&gt;0,'Trial Balance Dump'!C38,"")</f>
        <v/>
      </c>
      <c r="D49" s="60"/>
      <c r="E49" s="63"/>
      <c r="F49" s="65"/>
      <c r="G49" s="69" t="str">
        <f t="shared" si="0"/>
        <v/>
      </c>
    </row>
    <row r="50" spans="1:7" x14ac:dyDescent="0.4">
      <c r="A50" s="54" t="str" cm="1">
        <f t="array" ref="A50">IF(SUMPRODUCT(--('Trial Balance Dump'!C39=All_Accounts_in_XERO))&gt;0,'Trial Balance Dump'!A39,"")</f>
        <v/>
      </c>
      <c r="B50" s="34" t="str" cm="1">
        <f t="array" ref="B50">IF(SUMPRODUCT(--('Trial Balance Dump'!C39=All_Accounts_in_XERO))&gt;0,'Trial Balance Dump'!B39,"")</f>
        <v/>
      </c>
      <c r="C50" s="34" t="str" cm="1">
        <f t="array" ref="C50">IF(SUMPRODUCT(--('Trial Balance Dump'!C39=All_Accounts_in_XERO))&gt;0,'Trial Balance Dump'!C39,"")</f>
        <v/>
      </c>
      <c r="D50" s="60"/>
      <c r="E50" s="65"/>
      <c r="F50" s="65"/>
      <c r="G50" s="69" t="str">
        <f t="shared" si="0"/>
        <v/>
      </c>
    </row>
    <row r="51" spans="1:7" x14ac:dyDescent="0.4">
      <c r="A51" s="54" t="str" cm="1">
        <f t="array" ref="A51">IF(SUMPRODUCT(--('Trial Balance Dump'!C40=All_Accounts_in_XERO))&gt;0,'Trial Balance Dump'!A40,"")</f>
        <v/>
      </c>
      <c r="B51" s="34" t="str" cm="1">
        <f t="array" ref="B51">IF(SUMPRODUCT(--('Trial Balance Dump'!C40=All_Accounts_in_XERO))&gt;0,'Trial Balance Dump'!B40,"")</f>
        <v/>
      </c>
      <c r="C51" s="34" t="str" cm="1">
        <f t="array" ref="C51">IF(SUMPRODUCT(--('Trial Balance Dump'!C40=All_Accounts_in_XERO))&gt;0,'Trial Balance Dump'!C40,"")</f>
        <v/>
      </c>
      <c r="D51" s="60"/>
      <c r="E51" s="64"/>
      <c r="F51" s="65"/>
      <c r="G51" s="69" t="str">
        <f t="shared" si="0"/>
        <v/>
      </c>
    </row>
    <row r="52" spans="1:7" x14ac:dyDescent="0.4">
      <c r="A52" s="54" t="str" cm="1">
        <f t="array" ref="A52">IF(SUMPRODUCT(--('Trial Balance Dump'!C41=All_Accounts_in_XERO))&gt;0,'Trial Balance Dump'!A41,"")</f>
        <v/>
      </c>
      <c r="B52" s="34" t="str" cm="1">
        <f t="array" ref="B52">IF(SUMPRODUCT(--('Trial Balance Dump'!C41=All_Accounts_in_XERO))&gt;0,'Trial Balance Dump'!B41,"")</f>
        <v/>
      </c>
      <c r="C52" s="34" t="str" cm="1">
        <f t="array" ref="C52">IF(SUMPRODUCT(--('Trial Balance Dump'!C41=All_Accounts_in_XERO))&gt;0,'Trial Balance Dump'!C41,"")</f>
        <v/>
      </c>
      <c r="D52" s="60"/>
      <c r="E52" s="64"/>
      <c r="F52" s="65"/>
      <c r="G52" s="69" t="str">
        <f t="shared" si="0"/>
        <v/>
      </c>
    </row>
    <row r="53" spans="1:7" x14ac:dyDescent="0.4">
      <c r="A53" s="54" t="str" cm="1">
        <f t="array" ref="A53">IF(SUMPRODUCT(--('Trial Balance Dump'!C42=All_Accounts_in_XERO))&gt;0,'Trial Balance Dump'!A42,"")</f>
        <v/>
      </c>
      <c r="B53" s="34" t="str" cm="1">
        <f t="array" ref="B53">IF(SUMPRODUCT(--('Trial Balance Dump'!C42=All_Accounts_in_XERO))&gt;0,'Trial Balance Dump'!B42,"")</f>
        <v/>
      </c>
      <c r="C53" s="34" t="str" cm="1">
        <f t="array" ref="C53">IF(SUMPRODUCT(--('Trial Balance Dump'!C42=All_Accounts_in_XERO))&gt;0,'Trial Balance Dump'!C42,"")</f>
        <v/>
      </c>
      <c r="D53" s="60"/>
      <c r="E53" s="64"/>
      <c r="F53" s="65"/>
      <c r="G53" s="69" t="str">
        <f t="shared" si="0"/>
        <v/>
      </c>
    </row>
    <row r="54" spans="1:7" x14ac:dyDescent="0.4">
      <c r="A54" s="54" t="str" cm="1">
        <f t="array" ref="A54">IF(SUMPRODUCT(--('Trial Balance Dump'!C43=All_Accounts_in_XERO))&gt;0,'Trial Balance Dump'!A43,"")</f>
        <v/>
      </c>
      <c r="B54" s="34" t="str" cm="1">
        <f t="array" ref="B54">IF(SUMPRODUCT(--('Trial Balance Dump'!C43=All_Accounts_in_XERO))&gt;0,'Trial Balance Dump'!B43,"")</f>
        <v/>
      </c>
      <c r="C54" s="34" t="str" cm="1">
        <f t="array" ref="C54">IF(SUMPRODUCT(--('Trial Balance Dump'!C43=All_Accounts_in_XERO))&gt;0,'Trial Balance Dump'!C43,"")</f>
        <v/>
      </c>
      <c r="D54" s="60"/>
      <c r="E54" s="66"/>
      <c r="F54" s="65"/>
      <c r="G54" s="69" t="str">
        <f t="shared" si="0"/>
        <v/>
      </c>
    </row>
    <row r="55" spans="1:7" x14ac:dyDescent="0.4">
      <c r="A55" s="54" t="str" cm="1">
        <f t="array" ref="A55">IF(SUMPRODUCT(--('Trial Balance Dump'!C44=All_Accounts_in_XERO))&gt;0,'Trial Balance Dump'!A44,"")</f>
        <v/>
      </c>
      <c r="B55" s="34" t="str" cm="1">
        <f t="array" ref="B55">IF(SUMPRODUCT(--('Trial Balance Dump'!C44=All_Accounts_in_XERO))&gt;0,'Trial Balance Dump'!B44,"")</f>
        <v/>
      </c>
      <c r="C55" s="34" t="str" cm="1">
        <f t="array" ref="C55">IF(SUMPRODUCT(--('Trial Balance Dump'!C44=All_Accounts_in_XERO))&gt;0,'Trial Balance Dump'!C44,"")</f>
        <v/>
      </c>
      <c r="D55" s="60"/>
      <c r="E55" s="64"/>
      <c r="F55" s="65"/>
      <c r="G55" s="69" t="str">
        <f t="shared" si="0"/>
        <v/>
      </c>
    </row>
    <row r="56" spans="1:7" x14ac:dyDescent="0.4">
      <c r="A56" s="54" t="str" cm="1">
        <f t="array" ref="A56">IF(SUMPRODUCT(--('Trial Balance Dump'!C45=All_Accounts_in_XERO))&gt;0,'Trial Balance Dump'!A45,"")</f>
        <v/>
      </c>
      <c r="B56" s="34" t="str" cm="1">
        <f t="array" ref="B56">IF(SUMPRODUCT(--('Trial Balance Dump'!C45=All_Accounts_in_XERO))&gt;0,'Trial Balance Dump'!B45,"")</f>
        <v/>
      </c>
      <c r="C56" s="34" t="str" cm="1">
        <f t="array" ref="C56">IF(SUMPRODUCT(--('Trial Balance Dump'!C45=All_Accounts_in_XERO))&gt;0,'Trial Balance Dump'!C45,"")</f>
        <v/>
      </c>
      <c r="D56" s="60"/>
      <c r="E56" s="64"/>
      <c r="F56" s="65"/>
      <c r="G56" s="69" t="str">
        <f t="shared" si="0"/>
        <v/>
      </c>
    </row>
    <row r="57" spans="1:7" x14ac:dyDescent="0.4">
      <c r="A57" s="54" t="str" cm="1">
        <f t="array" ref="A57">IF(SUMPRODUCT(--('Trial Balance Dump'!C46=All_Accounts_in_XERO))&gt;0,'Trial Balance Dump'!A46,"")</f>
        <v/>
      </c>
      <c r="B57" s="34" t="str" cm="1">
        <f t="array" ref="B57">IF(SUMPRODUCT(--('Trial Balance Dump'!C46=All_Accounts_in_XERO))&gt;0,'Trial Balance Dump'!B46,"")</f>
        <v/>
      </c>
      <c r="C57" s="34" t="str" cm="1">
        <f t="array" ref="C57">IF(SUMPRODUCT(--('Trial Balance Dump'!C46=All_Accounts_in_XERO))&gt;0,'Trial Balance Dump'!C46,"")</f>
        <v/>
      </c>
      <c r="D57" s="60"/>
      <c r="E57" s="64"/>
      <c r="F57" s="65"/>
      <c r="G57" s="69" t="str">
        <f t="shared" si="0"/>
        <v/>
      </c>
    </row>
    <row r="58" spans="1:7" x14ac:dyDescent="0.4">
      <c r="A58" s="54" t="str" cm="1">
        <f t="array" ref="A58">IF(SUMPRODUCT(--('Trial Balance Dump'!C47=All_Accounts_in_XERO))&gt;0,'Trial Balance Dump'!A47,"")</f>
        <v/>
      </c>
      <c r="B58" s="34" t="str" cm="1">
        <f t="array" ref="B58">IF(SUMPRODUCT(--('Trial Balance Dump'!C47=All_Accounts_in_XERO))&gt;0,'Trial Balance Dump'!B47,"")</f>
        <v/>
      </c>
      <c r="C58" s="34" t="str" cm="1">
        <f t="array" ref="C58">IF(SUMPRODUCT(--('Trial Balance Dump'!C47=All_Accounts_in_XERO))&gt;0,'Trial Balance Dump'!C47,"")</f>
        <v/>
      </c>
      <c r="D58" s="60"/>
      <c r="E58" s="64"/>
      <c r="F58" s="65"/>
      <c r="G58" s="69" t="str">
        <f t="shared" si="0"/>
        <v/>
      </c>
    </row>
    <row r="59" spans="1:7" x14ac:dyDescent="0.4">
      <c r="A59" s="54" t="str" cm="1">
        <f t="array" ref="A59">IF(SUMPRODUCT(--('Trial Balance Dump'!C48=All_Accounts_in_XERO))&gt;0,'Trial Balance Dump'!A48,"")</f>
        <v/>
      </c>
      <c r="B59" s="34" t="str" cm="1">
        <f t="array" ref="B59">IF(SUMPRODUCT(--('Trial Balance Dump'!C48=All_Accounts_in_XERO))&gt;0,'Trial Balance Dump'!B48,"")</f>
        <v/>
      </c>
      <c r="C59" s="34" t="str" cm="1">
        <f t="array" ref="C59">IF(SUMPRODUCT(--('Trial Balance Dump'!C48=All_Accounts_in_XERO))&gt;0,'Trial Balance Dump'!C48,"")</f>
        <v/>
      </c>
      <c r="D59" s="60"/>
      <c r="E59" s="64"/>
      <c r="F59" s="65"/>
      <c r="G59" s="69" t="str">
        <f t="shared" si="0"/>
        <v/>
      </c>
    </row>
    <row r="60" spans="1:7" x14ac:dyDescent="0.4">
      <c r="A60" s="54" t="str" cm="1">
        <f t="array" ref="A60">IF(SUMPRODUCT(--('Trial Balance Dump'!C49=All_Accounts_in_XERO))&gt;0,'Trial Balance Dump'!A49,"")</f>
        <v/>
      </c>
      <c r="B60" s="34" t="str" cm="1">
        <f t="array" ref="B60">IF(SUMPRODUCT(--('Trial Balance Dump'!C49=All_Accounts_in_XERO))&gt;0,'Trial Balance Dump'!B49,"")</f>
        <v/>
      </c>
      <c r="C60" s="34" t="str" cm="1">
        <f t="array" ref="C60">IF(SUMPRODUCT(--('Trial Balance Dump'!C49=All_Accounts_in_XERO))&gt;0,'Trial Balance Dump'!C49,"")</f>
        <v/>
      </c>
      <c r="D60" s="60"/>
      <c r="E60" s="64"/>
      <c r="G60" s="69" t="str">
        <f t="shared" si="0"/>
        <v/>
      </c>
    </row>
    <row r="61" spans="1:7" x14ac:dyDescent="0.4">
      <c r="A61" s="54" t="str" cm="1">
        <f t="array" ref="A61">IF(SUMPRODUCT(--('Trial Balance Dump'!C50=All_Accounts_in_XERO))&gt;0,'Trial Balance Dump'!A50,"")</f>
        <v/>
      </c>
      <c r="B61" s="34" t="str" cm="1">
        <f t="array" ref="B61">IF(SUMPRODUCT(--('Trial Balance Dump'!C50=All_Accounts_in_XERO))&gt;0,'Trial Balance Dump'!B50,"")</f>
        <v/>
      </c>
      <c r="C61" s="34" t="str" cm="1">
        <f t="array" ref="C61">IF(SUMPRODUCT(--('Trial Balance Dump'!C50=All_Accounts_in_XERO))&gt;0,'Trial Balance Dump'!C50,"")</f>
        <v/>
      </c>
      <c r="D61" s="60"/>
      <c r="E61" s="64"/>
      <c r="G61" s="69" t="str">
        <f t="shared" si="0"/>
        <v/>
      </c>
    </row>
    <row r="62" spans="1:7" x14ac:dyDescent="0.4">
      <c r="A62" s="54" t="str" cm="1">
        <f t="array" ref="A62">IF(SUMPRODUCT(--('Trial Balance Dump'!C51=All_Accounts_in_XERO))&gt;0,'Trial Balance Dump'!A51,"")</f>
        <v/>
      </c>
      <c r="B62" s="34" t="str" cm="1">
        <f t="array" ref="B62">IF(SUMPRODUCT(--('Trial Balance Dump'!C51=All_Accounts_in_XERO))&gt;0,'Trial Balance Dump'!B51,"")</f>
        <v/>
      </c>
      <c r="C62" s="34" t="str" cm="1">
        <f t="array" ref="C62">IF(SUMPRODUCT(--('Trial Balance Dump'!C51=All_Accounts_in_XERO))&gt;0,'Trial Balance Dump'!C51,"")</f>
        <v/>
      </c>
      <c r="D62" s="60"/>
      <c r="E62" s="63"/>
      <c r="G62" s="69" t="str">
        <f t="shared" si="0"/>
        <v/>
      </c>
    </row>
    <row r="63" spans="1:7" x14ac:dyDescent="0.4">
      <c r="A63" s="54" t="str" cm="1">
        <f t="array" ref="A63">IF(SUMPRODUCT(--('Trial Balance Dump'!C52=All_Accounts_in_XERO))&gt;0,'Trial Balance Dump'!A52,"")</f>
        <v/>
      </c>
      <c r="B63" s="34" t="str" cm="1">
        <f t="array" ref="B63">IF(SUMPRODUCT(--('Trial Balance Dump'!C52=All_Accounts_in_XERO))&gt;0,'Trial Balance Dump'!B52,"")</f>
        <v/>
      </c>
      <c r="C63" s="34" t="str" cm="1">
        <f t="array" ref="C63">IF(SUMPRODUCT(--('Trial Balance Dump'!C52=All_Accounts_in_XERO))&gt;0,'Trial Balance Dump'!C52,"")</f>
        <v/>
      </c>
      <c r="D63" s="60"/>
      <c r="E63" s="63"/>
      <c r="G63" s="69" t="str">
        <f t="shared" si="0"/>
        <v/>
      </c>
    </row>
    <row r="64" spans="1:7" x14ac:dyDescent="0.4">
      <c r="A64" s="54" t="str" cm="1">
        <f t="array" ref="A64">IF(SUMPRODUCT(--('Trial Balance Dump'!C53=All_Accounts_in_XERO))&gt;0,'Trial Balance Dump'!A53,"")</f>
        <v/>
      </c>
      <c r="B64" s="34" t="str" cm="1">
        <f t="array" ref="B64">IF(SUMPRODUCT(--('Trial Balance Dump'!C53=All_Accounts_in_XERO))&gt;0,'Trial Balance Dump'!B53,"")</f>
        <v/>
      </c>
      <c r="C64" s="34" t="str" cm="1">
        <f t="array" ref="C64">IF(SUMPRODUCT(--('Trial Balance Dump'!C53=All_Accounts_in_XERO))&gt;0,'Trial Balance Dump'!C53,"")</f>
        <v/>
      </c>
      <c r="D64" s="60"/>
      <c r="E64" s="63"/>
      <c r="G64" s="69" t="str">
        <f t="shared" si="0"/>
        <v/>
      </c>
    </row>
    <row r="65" spans="1:7" x14ac:dyDescent="0.4">
      <c r="A65" s="54" t="str" cm="1">
        <f t="array" ref="A65">IF(SUMPRODUCT(--('Trial Balance Dump'!C54=All_Accounts_in_XERO))&gt;0,'Trial Balance Dump'!A54,"")</f>
        <v/>
      </c>
      <c r="B65" s="34" t="str" cm="1">
        <f t="array" ref="B65">IF(SUMPRODUCT(--('Trial Balance Dump'!C54=All_Accounts_in_XERO))&gt;0,'Trial Balance Dump'!B54,"")</f>
        <v/>
      </c>
      <c r="C65" s="34" t="str" cm="1">
        <f t="array" ref="C65">IF(SUMPRODUCT(--('Trial Balance Dump'!C54=All_Accounts_in_XERO))&gt;0,'Trial Balance Dump'!C54,"")</f>
        <v/>
      </c>
      <c r="D65" s="60"/>
      <c r="E65" s="63"/>
      <c r="G65" s="69" t="str">
        <f t="shared" si="0"/>
        <v/>
      </c>
    </row>
    <row r="66" spans="1:7" x14ac:dyDescent="0.4">
      <c r="A66" s="54" t="str" cm="1">
        <f t="array" ref="A66">IF(SUMPRODUCT(--('Trial Balance Dump'!C55=All_Accounts_in_XERO))&gt;0,'Trial Balance Dump'!A55,"")</f>
        <v/>
      </c>
      <c r="B66" s="34" t="str" cm="1">
        <f t="array" ref="B66">IF(SUMPRODUCT(--('Trial Balance Dump'!C55=All_Accounts_in_XERO))&gt;0,'Trial Balance Dump'!B55,"")</f>
        <v/>
      </c>
      <c r="C66" s="34" t="str" cm="1">
        <f t="array" ref="C66">IF(SUMPRODUCT(--('Trial Balance Dump'!C55=All_Accounts_in_XERO))&gt;0,'Trial Balance Dump'!C55,"")</f>
        <v/>
      </c>
      <c r="D66" s="60"/>
      <c r="E66" s="63"/>
      <c r="G66" s="69" t="str">
        <f t="shared" si="0"/>
        <v/>
      </c>
    </row>
    <row r="67" spans="1:7" x14ac:dyDescent="0.4">
      <c r="A67" s="54" t="str" cm="1">
        <f t="array" ref="A67">IF(SUMPRODUCT(--('Trial Balance Dump'!C56=All_Accounts_in_XERO))&gt;0,'Trial Balance Dump'!A56,"")</f>
        <v/>
      </c>
      <c r="B67" s="34" t="str" cm="1">
        <f t="array" ref="B67">IF(SUMPRODUCT(--('Trial Balance Dump'!C56=All_Accounts_in_XERO))&gt;0,'Trial Balance Dump'!B56,"")</f>
        <v/>
      </c>
      <c r="C67" s="34" t="str" cm="1">
        <f t="array" ref="C67">IF(SUMPRODUCT(--('Trial Balance Dump'!C56=All_Accounts_in_XERO))&gt;0,'Trial Balance Dump'!C56,"")</f>
        <v/>
      </c>
      <c r="D67" s="60"/>
      <c r="E67" s="63"/>
      <c r="G67" s="69" t="str">
        <f t="shared" si="0"/>
        <v/>
      </c>
    </row>
    <row r="68" spans="1:7" x14ac:dyDescent="0.4">
      <c r="A68" s="54" t="str" cm="1">
        <f t="array" ref="A68">IF(SUMPRODUCT(--('Trial Balance Dump'!C57=All_Accounts_in_XERO))&gt;0,'Trial Balance Dump'!A57,"")</f>
        <v/>
      </c>
      <c r="B68" s="34" t="str" cm="1">
        <f t="array" ref="B68">IF(SUMPRODUCT(--('Trial Balance Dump'!C57=All_Accounts_in_XERO))&gt;0,'Trial Balance Dump'!B57,"")</f>
        <v/>
      </c>
      <c r="C68" s="34" t="str" cm="1">
        <f t="array" ref="C68">IF(SUMPRODUCT(--('Trial Balance Dump'!C57=All_Accounts_in_XERO))&gt;0,'Trial Balance Dump'!C57,"")</f>
        <v/>
      </c>
      <c r="D68" s="60"/>
      <c r="E68" s="63"/>
      <c r="G68" s="69" t="str">
        <f t="shared" si="0"/>
        <v/>
      </c>
    </row>
    <row r="69" spans="1:7" x14ac:dyDescent="0.4">
      <c r="A69" s="54" t="str" cm="1">
        <f t="array" ref="A69">IF(SUMPRODUCT(--('Trial Balance Dump'!C58=All_Accounts_in_XERO))&gt;0,'Trial Balance Dump'!A58,"")</f>
        <v/>
      </c>
      <c r="B69" s="34" t="str" cm="1">
        <f t="array" ref="B69">IF(SUMPRODUCT(--('Trial Balance Dump'!C58=All_Accounts_in_XERO))&gt;0,'Trial Balance Dump'!B58,"")</f>
        <v/>
      </c>
      <c r="C69" s="34" t="str" cm="1">
        <f t="array" ref="C69">IF(SUMPRODUCT(--('Trial Balance Dump'!C58=All_Accounts_in_XERO))&gt;0,'Trial Balance Dump'!C58,"")</f>
        <v/>
      </c>
      <c r="D69" s="60"/>
      <c r="E69" s="63"/>
      <c r="G69" s="69" t="str">
        <f t="shared" si="0"/>
        <v/>
      </c>
    </row>
    <row r="70" spans="1:7" x14ac:dyDescent="0.4">
      <c r="A70" s="54" t="str" cm="1">
        <f t="array" ref="A70">IF(SUMPRODUCT(--('Trial Balance Dump'!C59=All_Accounts_in_XERO))&gt;0,'Trial Balance Dump'!A59,"")</f>
        <v/>
      </c>
      <c r="B70" s="34" t="str" cm="1">
        <f t="array" ref="B70">IF(SUMPRODUCT(--('Trial Balance Dump'!C59=All_Accounts_in_XERO))&gt;0,'Trial Balance Dump'!B59,"")</f>
        <v/>
      </c>
      <c r="C70" s="34" t="str" cm="1">
        <f t="array" ref="C70">IF(SUMPRODUCT(--('Trial Balance Dump'!C59=All_Accounts_in_XERO))&gt;0,'Trial Balance Dump'!C59,"")</f>
        <v/>
      </c>
      <c r="D70" s="60"/>
      <c r="E70" s="63"/>
      <c r="G70" s="69" t="str">
        <f t="shared" si="0"/>
        <v/>
      </c>
    </row>
    <row r="71" spans="1:7" x14ac:dyDescent="0.4">
      <c r="A71" s="54" t="str" cm="1">
        <f t="array" ref="A71">IF(SUMPRODUCT(--('Trial Balance Dump'!C60=All_Accounts_in_XERO))&gt;0,'Trial Balance Dump'!A60,"")</f>
        <v/>
      </c>
      <c r="B71" s="34" t="str" cm="1">
        <f t="array" ref="B71">IF(SUMPRODUCT(--('Trial Balance Dump'!C60=All_Accounts_in_XERO))&gt;0,'Trial Balance Dump'!B60,"")</f>
        <v/>
      </c>
      <c r="C71" s="34" t="str" cm="1">
        <f t="array" ref="C71">IF(SUMPRODUCT(--('Trial Balance Dump'!C60=All_Accounts_in_XERO))&gt;0,'Trial Balance Dump'!C60,"")</f>
        <v/>
      </c>
      <c r="D71" s="60"/>
      <c r="E71" s="63"/>
      <c r="G71" s="69" t="str">
        <f t="shared" si="0"/>
        <v/>
      </c>
    </row>
    <row r="72" spans="1:7" x14ac:dyDescent="0.4">
      <c r="A72" s="54" t="str" cm="1">
        <f t="array" ref="A72">IF(SUMPRODUCT(--('Trial Balance Dump'!C61=All_Accounts_in_XERO))&gt;0,'Trial Balance Dump'!A61,"")</f>
        <v/>
      </c>
      <c r="B72" s="34" t="str" cm="1">
        <f t="array" ref="B72">IF(SUMPRODUCT(--('Trial Balance Dump'!C61=All_Accounts_in_XERO))&gt;0,'Trial Balance Dump'!B61,"")</f>
        <v/>
      </c>
      <c r="C72" s="34" t="str" cm="1">
        <f t="array" ref="C72">IF(SUMPRODUCT(--('Trial Balance Dump'!C61=All_Accounts_in_XERO))&gt;0,'Trial Balance Dump'!C61,"")</f>
        <v/>
      </c>
      <c r="D72" s="60"/>
      <c r="E72" s="63"/>
      <c r="G72" s="69" t="str">
        <f t="shared" si="0"/>
        <v/>
      </c>
    </row>
    <row r="73" spans="1:7" x14ac:dyDescent="0.4">
      <c r="A73" s="54" t="str" cm="1">
        <f t="array" ref="A73">IF(SUMPRODUCT(--('Trial Balance Dump'!C62=All_Accounts_in_XERO))&gt;0,'Trial Balance Dump'!A62,"")</f>
        <v/>
      </c>
      <c r="B73" s="34" t="str" cm="1">
        <f t="array" ref="B73">IF(SUMPRODUCT(--('Trial Balance Dump'!C62=All_Accounts_in_XERO))&gt;0,'Trial Balance Dump'!B62,"")</f>
        <v/>
      </c>
      <c r="C73" s="34" t="str" cm="1">
        <f t="array" ref="C73">IF(SUMPRODUCT(--('Trial Balance Dump'!C62=All_Accounts_in_XERO))&gt;0,'Trial Balance Dump'!C62,"")</f>
        <v/>
      </c>
      <c r="D73" s="60"/>
      <c r="E73" s="63"/>
      <c r="G73" s="69" t="str">
        <f t="shared" si="0"/>
        <v/>
      </c>
    </row>
    <row r="74" spans="1:7" x14ac:dyDescent="0.4">
      <c r="A74" s="54" t="str" cm="1">
        <f t="array" ref="A74">IF(SUMPRODUCT(--('Trial Balance Dump'!C63=All_Accounts_in_XERO))&gt;0,'Trial Balance Dump'!A63,"")</f>
        <v/>
      </c>
      <c r="B74" s="34" t="str" cm="1">
        <f t="array" ref="B74">IF(SUMPRODUCT(--('Trial Balance Dump'!C63=All_Accounts_in_XERO))&gt;0,'Trial Balance Dump'!B63,"")</f>
        <v/>
      </c>
      <c r="C74" s="34" t="str" cm="1">
        <f t="array" ref="C74">IF(SUMPRODUCT(--('Trial Balance Dump'!C63=All_Accounts_in_XERO))&gt;0,'Trial Balance Dump'!C63,"")</f>
        <v/>
      </c>
      <c r="D74" s="60"/>
      <c r="E74" s="63"/>
      <c r="G74" s="69" t="str">
        <f t="shared" si="0"/>
        <v/>
      </c>
    </row>
    <row r="75" spans="1:7" x14ac:dyDescent="0.4">
      <c r="A75" s="54" t="str" cm="1">
        <f t="array" ref="A75">IF(SUMPRODUCT(--('Trial Balance Dump'!C64=All_Accounts_in_XERO))&gt;0,'Trial Balance Dump'!A64,"")</f>
        <v/>
      </c>
      <c r="B75" s="34" t="str" cm="1">
        <f t="array" ref="B75">IF(SUMPRODUCT(--('Trial Balance Dump'!C64=All_Accounts_in_XERO))&gt;0,'Trial Balance Dump'!B64,"")</f>
        <v/>
      </c>
      <c r="C75" s="34" t="str" cm="1">
        <f t="array" ref="C75">IF(SUMPRODUCT(--('Trial Balance Dump'!C64=All_Accounts_in_XERO))&gt;0,'Trial Balance Dump'!C64,"")</f>
        <v/>
      </c>
      <c r="D75" s="60"/>
      <c r="E75" s="63"/>
      <c r="G75" s="69" t="str">
        <f t="shared" si="0"/>
        <v/>
      </c>
    </row>
    <row r="76" spans="1:7" x14ac:dyDescent="0.4">
      <c r="A76" s="54" t="str" cm="1">
        <f t="array" ref="A76">IF(SUMPRODUCT(--('Trial Balance Dump'!C65=All_Accounts_in_XERO))&gt;0,'Trial Balance Dump'!A65,"")</f>
        <v/>
      </c>
      <c r="B76" s="34" t="str" cm="1">
        <f t="array" ref="B76">IF(SUMPRODUCT(--('Trial Balance Dump'!C65=All_Accounts_in_XERO))&gt;0,'Trial Balance Dump'!B65,"")</f>
        <v/>
      </c>
      <c r="C76" s="34" t="str" cm="1">
        <f t="array" ref="C76">IF(SUMPRODUCT(--('Trial Balance Dump'!C65=All_Accounts_in_XERO))&gt;0,'Trial Balance Dump'!C65,"")</f>
        <v/>
      </c>
      <c r="D76" s="60"/>
      <c r="E76" s="63"/>
      <c r="G76" s="69" t="str">
        <f t="shared" si="0"/>
        <v/>
      </c>
    </row>
    <row r="77" spans="1:7" x14ac:dyDescent="0.4">
      <c r="A77" s="54" t="str" cm="1">
        <f t="array" ref="A77">IF(SUMPRODUCT(--('Trial Balance Dump'!C66=All_Accounts_in_XERO))&gt;0,'Trial Balance Dump'!A66,"")</f>
        <v/>
      </c>
      <c r="B77" s="34" t="str" cm="1">
        <f t="array" ref="B77">IF(SUMPRODUCT(--('Trial Balance Dump'!C66=All_Accounts_in_XERO))&gt;0,'Trial Balance Dump'!B66,"")</f>
        <v/>
      </c>
      <c r="C77" s="34" t="str" cm="1">
        <f t="array" ref="C77">IF(SUMPRODUCT(--('Trial Balance Dump'!C66=All_Accounts_in_XERO))&gt;0,'Trial Balance Dump'!C66,"")</f>
        <v/>
      </c>
      <c r="D77" s="60"/>
      <c r="E77" s="63"/>
      <c r="G77" s="69" t="str">
        <f t="shared" si="0"/>
        <v/>
      </c>
    </row>
    <row r="78" spans="1:7" x14ac:dyDescent="0.4">
      <c r="A78" s="54" t="str" cm="1">
        <f t="array" ref="A78">IF(SUMPRODUCT(--('Trial Balance Dump'!C67=All_Accounts_in_XERO))&gt;0,'Trial Balance Dump'!A67,"")</f>
        <v/>
      </c>
      <c r="B78" s="34" t="str" cm="1">
        <f t="array" ref="B78">IF(SUMPRODUCT(--('Trial Balance Dump'!C67=All_Accounts_in_XERO))&gt;0,'Trial Balance Dump'!B67,"")</f>
        <v/>
      </c>
      <c r="C78" s="34" t="str" cm="1">
        <f t="array" ref="C78">IF(SUMPRODUCT(--('Trial Balance Dump'!C67=All_Accounts_in_XERO))&gt;0,'Trial Balance Dump'!C67,"")</f>
        <v/>
      </c>
      <c r="D78" s="60"/>
      <c r="E78" s="63"/>
      <c r="G78" s="69" t="str">
        <f t="shared" si="0"/>
        <v/>
      </c>
    </row>
    <row r="79" spans="1:7" x14ac:dyDescent="0.4">
      <c r="A79" s="54" t="str" cm="1">
        <f t="array" ref="A79">IF(SUMPRODUCT(--('Trial Balance Dump'!C68=All_Accounts_in_XERO))&gt;0,'Trial Balance Dump'!A68,"")</f>
        <v/>
      </c>
      <c r="B79" s="34" t="str" cm="1">
        <f t="array" ref="B79">IF(SUMPRODUCT(--('Trial Balance Dump'!C68=All_Accounts_in_XERO))&gt;0,'Trial Balance Dump'!B68,"")</f>
        <v/>
      </c>
      <c r="C79" s="34" t="str" cm="1">
        <f t="array" ref="C79">IF(SUMPRODUCT(--('Trial Balance Dump'!C68=All_Accounts_in_XERO))&gt;0,'Trial Balance Dump'!C68,"")</f>
        <v/>
      </c>
      <c r="D79" s="60"/>
      <c r="E79" s="63"/>
      <c r="G79" s="69" t="str">
        <f t="shared" si="0"/>
        <v/>
      </c>
    </row>
    <row r="80" spans="1:7" x14ac:dyDescent="0.4">
      <c r="A80" s="54" t="str" cm="1">
        <f t="array" ref="A80">IF(SUMPRODUCT(--('Trial Balance Dump'!C69=All_Accounts_in_XERO))&gt;0,'Trial Balance Dump'!A69,"")</f>
        <v/>
      </c>
      <c r="B80" s="34" t="str" cm="1">
        <f t="array" ref="B80">IF(SUMPRODUCT(--('Trial Balance Dump'!C69=All_Accounts_in_XERO))&gt;0,'Trial Balance Dump'!B69,"")</f>
        <v/>
      </c>
      <c r="C80" s="34" t="str" cm="1">
        <f t="array" ref="C80">IF(SUMPRODUCT(--('Trial Balance Dump'!C69=All_Accounts_in_XERO))&gt;0,'Trial Balance Dump'!C69,"")</f>
        <v/>
      </c>
      <c r="D80" s="60"/>
      <c r="E80" s="63"/>
      <c r="G80" s="69" t="str">
        <f t="shared" si="0"/>
        <v/>
      </c>
    </row>
    <row r="81" spans="1:7" x14ac:dyDescent="0.4">
      <c r="A81" s="54" t="str" cm="1">
        <f t="array" ref="A81">IF(SUMPRODUCT(--('Trial Balance Dump'!C70=All_Accounts_in_XERO))&gt;0,'Trial Balance Dump'!A70,"")</f>
        <v/>
      </c>
      <c r="B81" s="34" t="str" cm="1">
        <f t="array" ref="B81">IF(SUMPRODUCT(--('Trial Balance Dump'!C70=All_Accounts_in_XERO))&gt;0,'Trial Balance Dump'!B70,"")</f>
        <v/>
      </c>
      <c r="C81" s="34" t="str" cm="1">
        <f t="array" ref="C81">IF(SUMPRODUCT(--('Trial Balance Dump'!C70=All_Accounts_in_XERO))&gt;0,'Trial Balance Dump'!C70,"")</f>
        <v/>
      </c>
      <c r="D81" s="60"/>
      <c r="E81" s="63"/>
      <c r="G81" s="69" t="str">
        <f t="shared" si="0"/>
        <v/>
      </c>
    </row>
    <row r="82" spans="1:7" x14ac:dyDescent="0.4">
      <c r="A82" s="54" t="str" cm="1">
        <f t="array" ref="A82">IF(SUMPRODUCT(--('Trial Balance Dump'!C71=All_Accounts_in_XERO))&gt;0,'Trial Balance Dump'!A71,"")</f>
        <v/>
      </c>
      <c r="B82" s="34" t="str" cm="1">
        <f t="array" ref="B82">IF(SUMPRODUCT(--('Trial Balance Dump'!C71=All_Accounts_in_XERO))&gt;0,'Trial Balance Dump'!B71,"")</f>
        <v/>
      </c>
      <c r="C82" s="34" t="str" cm="1">
        <f t="array" ref="C82">IF(SUMPRODUCT(--('Trial Balance Dump'!C71=All_Accounts_in_XERO))&gt;0,'Trial Balance Dump'!C71,"")</f>
        <v/>
      </c>
      <c r="D82" s="60"/>
      <c r="E82" s="63"/>
      <c r="G82" s="69" t="str">
        <f t="shared" ref="G82:G145" si="1">IF(ISNA(VLOOKUP(E82, I:K, 3, FALSE)), "", IF(VLOOKUP(E82, I:K, 3, FALSE) = "", "", IF(F82 = VLOOKUP(E82, I:K, 3, FALSE), "✓", "")))</f>
        <v/>
      </c>
    </row>
    <row r="83" spans="1:7" x14ac:dyDescent="0.4">
      <c r="A83" s="54" t="str" cm="1">
        <f t="array" ref="A83">IF(SUMPRODUCT(--('Trial Balance Dump'!C72=All_Accounts_in_XERO))&gt;0,'Trial Balance Dump'!A72,"")</f>
        <v/>
      </c>
      <c r="B83" s="34" t="str" cm="1">
        <f t="array" ref="B83">IF(SUMPRODUCT(--('Trial Balance Dump'!C72=All_Accounts_in_XERO))&gt;0,'Trial Balance Dump'!B72,"")</f>
        <v/>
      </c>
      <c r="C83" s="34" t="str" cm="1">
        <f t="array" ref="C83">IF(SUMPRODUCT(--('Trial Balance Dump'!C72=All_Accounts_in_XERO))&gt;0,'Trial Balance Dump'!C72,"")</f>
        <v/>
      </c>
      <c r="D83" s="60"/>
      <c r="E83" s="63"/>
      <c r="G83" s="69" t="str">
        <f t="shared" si="1"/>
        <v/>
      </c>
    </row>
    <row r="84" spans="1:7" x14ac:dyDescent="0.4">
      <c r="A84" s="54" t="str" cm="1">
        <f t="array" ref="A84">IF(SUMPRODUCT(--('Trial Balance Dump'!C73=All_Accounts_in_XERO))&gt;0,'Trial Balance Dump'!A73,"")</f>
        <v/>
      </c>
      <c r="B84" s="34" t="str" cm="1">
        <f t="array" ref="B84">IF(SUMPRODUCT(--('Trial Balance Dump'!C73=All_Accounts_in_XERO))&gt;0,'Trial Balance Dump'!B73,"")</f>
        <v/>
      </c>
      <c r="C84" s="34" t="str" cm="1">
        <f t="array" ref="C84">IF(SUMPRODUCT(--('Trial Balance Dump'!C73=All_Accounts_in_XERO))&gt;0,'Trial Balance Dump'!C73,"")</f>
        <v/>
      </c>
      <c r="D84" s="60"/>
      <c r="E84" s="63"/>
      <c r="G84" s="69" t="str">
        <f t="shared" si="1"/>
        <v/>
      </c>
    </row>
    <row r="85" spans="1:7" x14ac:dyDescent="0.4">
      <c r="A85" s="54" t="str" cm="1">
        <f t="array" ref="A85">IF(SUMPRODUCT(--('Trial Balance Dump'!C74=All_Accounts_in_XERO))&gt;0,'Trial Balance Dump'!A74,"")</f>
        <v/>
      </c>
      <c r="B85" s="34" t="str" cm="1">
        <f t="array" ref="B85">IF(SUMPRODUCT(--('Trial Balance Dump'!C74=All_Accounts_in_XERO))&gt;0,'Trial Balance Dump'!B74,"")</f>
        <v/>
      </c>
      <c r="C85" s="34" t="str" cm="1">
        <f t="array" ref="C85">IF(SUMPRODUCT(--('Trial Balance Dump'!C74=All_Accounts_in_XERO))&gt;0,'Trial Balance Dump'!C74,"")</f>
        <v/>
      </c>
      <c r="D85" s="60"/>
      <c r="E85" s="63"/>
      <c r="G85" s="69" t="str">
        <f t="shared" si="1"/>
        <v/>
      </c>
    </row>
    <row r="86" spans="1:7" x14ac:dyDescent="0.4">
      <c r="A86" s="54" t="str" cm="1">
        <f t="array" ref="A86">IF(SUMPRODUCT(--('Trial Balance Dump'!C75=All_Accounts_in_XERO))&gt;0,'Trial Balance Dump'!A75,"")</f>
        <v/>
      </c>
      <c r="B86" s="34" t="str" cm="1">
        <f t="array" ref="B86">IF(SUMPRODUCT(--('Trial Balance Dump'!C75=All_Accounts_in_XERO))&gt;0,'Trial Balance Dump'!B75,"")</f>
        <v/>
      </c>
      <c r="C86" s="34" t="str" cm="1">
        <f t="array" ref="C86">IF(SUMPRODUCT(--('Trial Balance Dump'!C75=All_Accounts_in_XERO))&gt;0,'Trial Balance Dump'!C75,"")</f>
        <v/>
      </c>
      <c r="D86" s="60"/>
      <c r="E86" s="63"/>
      <c r="G86" s="69" t="str">
        <f t="shared" si="1"/>
        <v/>
      </c>
    </row>
    <row r="87" spans="1:7" x14ac:dyDescent="0.4">
      <c r="A87" s="54" t="str" cm="1">
        <f t="array" ref="A87">IF(SUMPRODUCT(--('Trial Balance Dump'!C76=All_Accounts_in_XERO))&gt;0,'Trial Balance Dump'!A76,"")</f>
        <v/>
      </c>
      <c r="B87" s="34" t="str" cm="1">
        <f t="array" ref="B87">IF(SUMPRODUCT(--('Trial Balance Dump'!C76=All_Accounts_in_XERO))&gt;0,'Trial Balance Dump'!B76,"")</f>
        <v/>
      </c>
      <c r="C87" s="34" t="str" cm="1">
        <f t="array" ref="C87">IF(SUMPRODUCT(--('Trial Balance Dump'!C76=All_Accounts_in_XERO))&gt;0,'Trial Balance Dump'!C76,"")</f>
        <v/>
      </c>
      <c r="D87" s="60"/>
      <c r="E87" s="63"/>
      <c r="G87" s="69" t="str">
        <f t="shared" si="1"/>
        <v/>
      </c>
    </row>
    <row r="88" spans="1:7" x14ac:dyDescent="0.4">
      <c r="A88" s="54" t="str" cm="1">
        <f t="array" ref="A88">IF(SUMPRODUCT(--('Trial Balance Dump'!C77=All_Accounts_in_XERO))&gt;0,'Trial Balance Dump'!A77,"")</f>
        <v/>
      </c>
      <c r="B88" s="34" t="str" cm="1">
        <f t="array" ref="B88">IF(SUMPRODUCT(--('Trial Balance Dump'!C77=All_Accounts_in_XERO))&gt;0,'Trial Balance Dump'!B77,"")</f>
        <v/>
      </c>
      <c r="C88" s="34" t="str" cm="1">
        <f t="array" ref="C88">IF(SUMPRODUCT(--('Trial Balance Dump'!C77=All_Accounts_in_XERO))&gt;0,'Trial Balance Dump'!C77,"")</f>
        <v/>
      </c>
      <c r="D88" s="60"/>
      <c r="E88" s="63"/>
      <c r="G88" s="69" t="str">
        <f t="shared" si="1"/>
        <v/>
      </c>
    </row>
    <row r="89" spans="1:7" x14ac:dyDescent="0.4">
      <c r="A89" s="54" t="str" cm="1">
        <f t="array" ref="A89">IF(SUMPRODUCT(--('Trial Balance Dump'!C78=All_Accounts_in_XERO))&gt;0,'Trial Balance Dump'!A78,"")</f>
        <v/>
      </c>
      <c r="B89" s="34" t="str" cm="1">
        <f t="array" ref="B89">IF(SUMPRODUCT(--('Trial Balance Dump'!C78=All_Accounts_in_XERO))&gt;0,'Trial Balance Dump'!B78,"")</f>
        <v/>
      </c>
      <c r="C89" s="34" t="str" cm="1">
        <f t="array" ref="C89">IF(SUMPRODUCT(--('Trial Balance Dump'!C78=All_Accounts_in_XERO))&gt;0,'Trial Balance Dump'!C78,"")</f>
        <v/>
      </c>
      <c r="D89" s="60"/>
      <c r="E89" s="63"/>
      <c r="G89" s="69" t="str">
        <f t="shared" si="1"/>
        <v/>
      </c>
    </row>
    <row r="90" spans="1:7" x14ac:dyDescent="0.4">
      <c r="A90" s="54" t="str" cm="1">
        <f t="array" ref="A90">IF(SUMPRODUCT(--('Trial Balance Dump'!C79=All_Accounts_in_XERO))&gt;0,'Trial Balance Dump'!A79,"")</f>
        <v/>
      </c>
      <c r="B90" s="34" t="str" cm="1">
        <f t="array" ref="B90">IF(SUMPRODUCT(--('Trial Balance Dump'!C79=All_Accounts_in_XERO))&gt;0,'Trial Balance Dump'!B79,"")</f>
        <v/>
      </c>
      <c r="C90" s="34" t="str" cm="1">
        <f t="array" ref="C90">IF(SUMPRODUCT(--('Trial Balance Dump'!C79=All_Accounts_in_XERO))&gt;0,'Trial Balance Dump'!C79,"")</f>
        <v/>
      </c>
      <c r="D90" s="60"/>
      <c r="E90" s="63"/>
      <c r="G90" s="69" t="str">
        <f t="shared" si="1"/>
        <v/>
      </c>
    </row>
    <row r="91" spans="1:7" x14ac:dyDescent="0.4">
      <c r="A91" s="54" t="str" cm="1">
        <f t="array" ref="A91">IF(SUMPRODUCT(--('Trial Balance Dump'!C80=All_Accounts_in_XERO))&gt;0,'Trial Balance Dump'!A80,"")</f>
        <v/>
      </c>
      <c r="B91" s="34" t="str" cm="1">
        <f t="array" ref="B91">IF(SUMPRODUCT(--('Trial Balance Dump'!C80=All_Accounts_in_XERO))&gt;0,'Trial Balance Dump'!B80,"")</f>
        <v/>
      </c>
      <c r="C91" s="34" t="str" cm="1">
        <f t="array" ref="C91">IF(SUMPRODUCT(--('Trial Balance Dump'!C80=All_Accounts_in_XERO))&gt;0,'Trial Balance Dump'!C80,"")</f>
        <v/>
      </c>
      <c r="D91" s="60"/>
      <c r="E91" s="63"/>
      <c r="G91" s="69" t="str">
        <f t="shared" si="1"/>
        <v/>
      </c>
    </row>
    <row r="92" spans="1:7" x14ac:dyDescent="0.4">
      <c r="A92" s="54" t="str" cm="1">
        <f t="array" ref="A92">IF(SUMPRODUCT(--('Trial Balance Dump'!C81=All_Accounts_in_XERO))&gt;0,'Trial Balance Dump'!A81,"")</f>
        <v/>
      </c>
      <c r="B92" s="34" t="str" cm="1">
        <f t="array" ref="B92">IF(SUMPRODUCT(--('Trial Balance Dump'!C81=All_Accounts_in_XERO))&gt;0,'Trial Balance Dump'!B81,"")</f>
        <v/>
      </c>
      <c r="C92" s="34" t="str" cm="1">
        <f t="array" ref="C92">IF(SUMPRODUCT(--('Trial Balance Dump'!C81=All_Accounts_in_XERO))&gt;0,'Trial Balance Dump'!C81,"")</f>
        <v/>
      </c>
      <c r="D92" s="60"/>
      <c r="E92" s="63"/>
      <c r="G92" s="69" t="str">
        <f t="shared" si="1"/>
        <v/>
      </c>
    </row>
    <row r="93" spans="1:7" x14ac:dyDescent="0.4">
      <c r="A93" s="54" t="str" cm="1">
        <f t="array" ref="A93">IF(SUMPRODUCT(--('Trial Balance Dump'!C82=All_Accounts_in_XERO))&gt;0,'Trial Balance Dump'!A82,"")</f>
        <v/>
      </c>
      <c r="B93" s="34" t="str" cm="1">
        <f t="array" ref="B93">IF(SUMPRODUCT(--('Trial Balance Dump'!C82=All_Accounts_in_XERO))&gt;0,'Trial Balance Dump'!B82,"")</f>
        <v/>
      </c>
      <c r="C93" s="34" t="str" cm="1">
        <f t="array" ref="C93">IF(SUMPRODUCT(--('Trial Balance Dump'!C82=All_Accounts_in_XERO))&gt;0,'Trial Balance Dump'!C82,"")</f>
        <v/>
      </c>
      <c r="D93" s="60"/>
      <c r="E93" s="63"/>
      <c r="G93" s="69" t="str">
        <f t="shared" si="1"/>
        <v/>
      </c>
    </row>
    <row r="94" spans="1:7" x14ac:dyDescent="0.4">
      <c r="A94" s="54" t="str" cm="1">
        <f t="array" ref="A94">IF(SUMPRODUCT(--('Trial Balance Dump'!C83=All_Accounts_in_XERO))&gt;0,'Trial Balance Dump'!A83,"")</f>
        <v/>
      </c>
      <c r="B94" s="34" t="str" cm="1">
        <f t="array" ref="B94">IF(SUMPRODUCT(--('Trial Balance Dump'!C83=All_Accounts_in_XERO))&gt;0,'Trial Balance Dump'!B83,"")</f>
        <v/>
      </c>
      <c r="C94" s="34" t="str" cm="1">
        <f t="array" ref="C94">IF(SUMPRODUCT(--('Trial Balance Dump'!C83=All_Accounts_in_XERO))&gt;0,'Trial Balance Dump'!C83,"")</f>
        <v/>
      </c>
      <c r="D94" s="60"/>
      <c r="E94" s="63"/>
      <c r="G94" s="69" t="str">
        <f t="shared" si="1"/>
        <v/>
      </c>
    </row>
    <row r="95" spans="1:7" x14ac:dyDescent="0.4">
      <c r="A95" s="54" t="str" cm="1">
        <f t="array" ref="A95">IF(SUMPRODUCT(--('Trial Balance Dump'!C84=All_Accounts_in_XERO))&gt;0,'Trial Balance Dump'!A84,"")</f>
        <v/>
      </c>
      <c r="B95" s="34" t="str" cm="1">
        <f t="array" ref="B95">IF(SUMPRODUCT(--('Trial Balance Dump'!C84=All_Accounts_in_XERO))&gt;0,'Trial Balance Dump'!B84,"")</f>
        <v/>
      </c>
      <c r="C95" s="34" t="str" cm="1">
        <f t="array" ref="C95">IF(SUMPRODUCT(--('Trial Balance Dump'!C84=All_Accounts_in_XERO))&gt;0,'Trial Balance Dump'!C84,"")</f>
        <v/>
      </c>
      <c r="D95" s="60"/>
      <c r="E95" s="63"/>
      <c r="G95" s="69" t="str">
        <f t="shared" si="1"/>
        <v/>
      </c>
    </row>
    <row r="96" spans="1:7" x14ac:dyDescent="0.4">
      <c r="A96" s="54" t="str" cm="1">
        <f t="array" ref="A96">IF(SUMPRODUCT(--('Trial Balance Dump'!C85=All_Accounts_in_XERO))&gt;0,'Trial Balance Dump'!A85,"")</f>
        <v/>
      </c>
      <c r="B96" s="34" t="str" cm="1">
        <f t="array" ref="B96">IF(SUMPRODUCT(--('Trial Balance Dump'!C85=All_Accounts_in_XERO))&gt;0,'Trial Balance Dump'!B85,"")</f>
        <v/>
      </c>
      <c r="C96" s="34" t="str" cm="1">
        <f t="array" ref="C96">IF(SUMPRODUCT(--('Trial Balance Dump'!C85=All_Accounts_in_XERO))&gt;0,'Trial Balance Dump'!C85,"")</f>
        <v/>
      </c>
      <c r="D96" s="60"/>
      <c r="E96" s="63"/>
      <c r="G96" s="69" t="str">
        <f t="shared" si="1"/>
        <v/>
      </c>
    </row>
    <row r="97" spans="1:7" x14ac:dyDescent="0.4">
      <c r="A97" s="54" t="str" cm="1">
        <f t="array" ref="A97">IF(SUMPRODUCT(--('Trial Balance Dump'!C86=All_Accounts_in_XERO))&gt;0,'Trial Balance Dump'!A86,"")</f>
        <v/>
      </c>
      <c r="B97" s="34" t="str" cm="1">
        <f t="array" ref="B97">IF(SUMPRODUCT(--('Trial Balance Dump'!C86=All_Accounts_in_XERO))&gt;0,'Trial Balance Dump'!B86,"")</f>
        <v/>
      </c>
      <c r="C97" s="34" t="str" cm="1">
        <f t="array" ref="C97">IF(SUMPRODUCT(--('Trial Balance Dump'!C86=All_Accounts_in_XERO))&gt;0,'Trial Balance Dump'!C86,"")</f>
        <v/>
      </c>
      <c r="D97" s="60"/>
      <c r="E97" s="63"/>
      <c r="G97" s="69" t="str">
        <f t="shared" si="1"/>
        <v/>
      </c>
    </row>
    <row r="98" spans="1:7" x14ac:dyDescent="0.4">
      <c r="A98" s="54" t="str" cm="1">
        <f t="array" ref="A98">IF(SUMPRODUCT(--('Trial Balance Dump'!C87=All_Accounts_in_XERO))&gt;0,'Trial Balance Dump'!A87,"")</f>
        <v/>
      </c>
      <c r="B98" s="34" t="str" cm="1">
        <f t="array" ref="B98">IF(SUMPRODUCT(--('Trial Balance Dump'!C87=All_Accounts_in_XERO))&gt;0,'Trial Balance Dump'!B87,"")</f>
        <v/>
      </c>
      <c r="C98" s="34" t="str" cm="1">
        <f t="array" ref="C98">IF(SUMPRODUCT(--('Trial Balance Dump'!C87=All_Accounts_in_XERO))&gt;0,'Trial Balance Dump'!C87,"")</f>
        <v/>
      </c>
      <c r="D98" s="60"/>
      <c r="E98" s="63"/>
      <c r="G98" s="69" t="str">
        <f t="shared" si="1"/>
        <v/>
      </c>
    </row>
    <row r="99" spans="1:7" x14ac:dyDescent="0.4">
      <c r="A99" s="54" t="str" cm="1">
        <f t="array" ref="A99">IF(SUMPRODUCT(--('Trial Balance Dump'!C88=All_Accounts_in_XERO))&gt;0,'Trial Balance Dump'!A88,"")</f>
        <v/>
      </c>
      <c r="B99" s="34" t="str" cm="1">
        <f t="array" ref="B99">IF(SUMPRODUCT(--('Trial Balance Dump'!C88=All_Accounts_in_XERO))&gt;0,'Trial Balance Dump'!B88,"")</f>
        <v/>
      </c>
      <c r="C99" s="34" t="str" cm="1">
        <f t="array" ref="C99">IF(SUMPRODUCT(--('Trial Balance Dump'!C88=All_Accounts_in_XERO))&gt;0,'Trial Balance Dump'!C88,"")</f>
        <v/>
      </c>
      <c r="D99" s="60"/>
      <c r="E99" s="63"/>
      <c r="G99" s="69" t="str">
        <f t="shared" si="1"/>
        <v/>
      </c>
    </row>
    <row r="100" spans="1:7" x14ac:dyDescent="0.4">
      <c r="A100" s="54" t="str" cm="1">
        <f t="array" ref="A100">IF(SUMPRODUCT(--('Trial Balance Dump'!C89=All_Accounts_in_XERO))&gt;0,'Trial Balance Dump'!A89,"")</f>
        <v/>
      </c>
      <c r="B100" s="34" t="str" cm="1">
        <f t="array" ref="B100">IF(SUMPRODUCT(--('Trial Balance Dump'!C89=All_Accounts_in_XERO))&gt;0,'Trial Balance Dump'!B89,"")</f>
        <v/>
      </c>
      <c r="C100" s="34" t="str" cm="1">
        <f t="array" ref="C100">IF(SUMPRODUCT(--('Trial Balance Dump'!C89=All_Accounts_in_XERO))&gt;0,'Trial Balance Dump'!C89,"")</f>
        <v/>
      </c>
      <c r="D100" s="60"/>
      <c r="E100" s="63"/>
      <c r="G100" s="69" t="str">
        <f t="shared" si="1"/>
        <v/>
      </c>
    </row>
    <row r="101" spans="1:7" x14ac:dyDescent="0.4">
      <c r="A101" s="54" t="str" cm="1">
        <f t="array" ref="A101">IF(SUMPRODUCT(--('Trial Balance Dump'!C90=All_Accounts_in_XERO))&gt;0,'Trial Balance Dump'!A90,"")</f>
        <v/>
      </c>
      <c r="B101" s="34" t="str" cm="1">
        <f t="array" ref="B101">IF(SUMPRODUCT(--('Trial Balance Dump'!C90=All_Accounts_in_XERO))&gt;0,'Trial Balance Dump'!B90,"")</f>
        <v/>
      </c>
      <c r="C101" s="34" t="str" cm="1">
        <f t="array" ref="C101">IF(SUMPRODUCT(--('Trial Balance Dump'!C90=All_Accounts_in_XERO))&gt;0,'Trial Balance Dump'!C90,"")</f>
        <v/>
      </c>
      <c r="D101" s="60"/>
      <c r="E101" s="63"/>
      <c r="G101" s="69" t="str">
        <f t="shared" si="1"/>
        <v/>
      </c>
    </row>
    <row r="102" spans="1:7" x14ac:dyDescent="0.4">
      <c r="A102" s="54" t="str" cm="1">
        <f t="array" ref="A102">IF(SUMPRODUCT(--('Trial Balance Dump'!C91=All_Accounts_in_XERO))&gt;0,'Trial Balance Dump'!A91,"")</f>
        <v/>
      </c>
      <c r="B102" s="34" t="str" cm="1">
        <f t="array" ref="B102">IF(SUMPRODUCT(--('Trial Balance Dump'!C91=All_Accounts_in_XERO))&gt;0,'Trial Balance Dump'!B91,"")</f>
        <v/>
      </c>
      <c r="C102" s="34" t="str" cm="1">
        <f t="array" ref="C102">IF(SUMPRODUCT(--('Trial Balance Dump'!C91=All_Accounts_in_XERO))&gt;0,'Trial Balance Dump'!C91,"")</f>
        <v/>
      </c>
      <c r="D102" s="60"/>
      <c r="E102" s="63"/>
      <c r="G102" s="69" t="str">
        <f t="shared" si="1"/>
        <v/>
      </c>
    </row>
    <row r="103" spans="1:7" x14ac:dyDescent="0.4">
      <c r="A103" s="54" t="str" cm="1">
        <f t="array" ref="A103">IF(SUMPRODUCT(--('Trial Balance Dump'!C92=All_Accounts_in_XERO))&gt;0,'Trial Balance Dump'!A92,"")</f>
        <v/>
      </c>
      <c r="B103" s="34" t="str" cm="1">
        <f t="array" ref="B103">IF(SUMPRODUCT(--('Trial Balance Dump'!C92=All_Accounts_in_XERO))&gt;0,'Trial Balance Dump'!B92,"")</f>
        <v/>
      </c>
      <c r="C103" s="34" t="str" cm="1">
        <f t="array" ref="C103">IF(SUMPRODUCT(--('Trial Balance Dump'!C92=All_Accounts_in_XERO))&gt;0,'Trial Balance Dump'!C92,"")</f>
        <v/>
      </c>
      <c r="D103" s="60"/>
      <c r="E103" s="63"/>
      <c r="G103" s="69" t="str">
        <f t="shared" si="1"/>
        <v/>
      </c>
    </row>
    <row r="104" spans="1:7" x14ac:dyDescent="0.4">
      <c r="A104" s="54" t="str" cm="1">
        <f t="array" ref="A104">IF(SUMPRODUCT(--('Trial Balance Dump'!C93=All_Accounts_in_XERO))&gt;0,'Trial Balance Dump'!A93,"")</f>
        <v/>
      </c>
      <c r="B104" s="34" t="str" cm="1">
        <f t="array" ref="B104">IF(SUMPRODUCT(--('Trial Balance Dump'!C93=All_Accounts_in_XERO))&gt;0,'Trial Balance Dump'!B93,"")</f>
        <v/>
      </c>
      <c r="C104" s="34" t="str" cm="1">
        <f t="array" ref="C104">IF(SUMPRODUCT(--('Trial Balance Dump'!C93=All_Accounts_in_XERO))&gt;0,'Trial Balance Dump'!C93,"")</f>
        <v/>
      </c>
      <c r="D104" s="60"/>
      <c r="E104" s="63"/>
      <c r="G104" s="69" t="str">
        <f t="shared" si="1"/>
        <v/>
      </c>
    </row>
    <row r="105" spans="1:7" x14ac:dyDescent="0.4">
      <c r="A105" s="54" t="str" cm="1">
        <f t="array" ref="A105">IF(SUMPRODUCT(--('Trial Balance Dump'!C94=All_Accounts_in_XERO))&gt;0,'Trial Balance Dump'!A94,"")</f>
        <v/>
      </c>
      <c r="B105" s="34" t="str" cm="1">
        <f t="array" ref="B105">IF(SUMPRODUCT(--('Trial Balance Dump'!C94=All_Accounts_in_XERO))&gt;0,'Trial Balance Dump'!B94,"")</f>
        <v/>
      </c>
      <c r="C105" s="34" t="str" cm="1">
        <f t="array" ref="C105">IF(SUMPRODUCT(--('Trial Balance Dump'!C94=All_Accounts_in_XERO))&gt;0,'Trial Balance Dump'!C94,"")</f>
        <v/>
      </c>
      <c r="D105" s="60"/>
      <c r="E105" s="63"/>
      <c r="G105" s="69" t="str">
        <f t="shared" si="1"/>
        <v/>
      </c>
    </row>
    <row r="106" spans="1:7" x14ac:dyDescent="0.4">
      <c r="A106" s="54" t="str" cm="1">
        <f t="array" ref="A106">IF(SUMPRODUCT(--('Trial Balance Dump'!C95=All_Accounts_in_XERO))&gt;0,'Trial Balance Dump'!A95,"")</f>
        <v/>
      </c>
      <c r="B106" s="34" t="str" cm="1">
        <f t="array" ref="B106">IF(SUMPRODUCT(--('Trial Balance Dump'!C95=All_Accounts_in_XERO))&gt;0,'Trial Balance Dump'!B95,"")</f>
        <v/>
      </c>
      <c r="C106" s="34" t="str" cm="1">
        <f t="array" ref="C106">IF(SUMPRODUCT(--('Trial Balance Dump'!C95=All_Accounts_in_XERO))&gt;0,'Trial Balance Dump'!C95,"")</f>
        <v/>
      </c>
      <c r="D106" s="60"/>
      <c r="E106" s="63"/>
      <c r="G106" s="69" t="str">
        <f t="shared" si="1"/>
        <v/>
      </c>
    </row>
    <row r="107" spans="1:7" x14ac:dyDescent="0.4">
      <c r="A107" s="54" t="str" cm="1">
        <f t="array" ref="A107">IF(SUMPRODUCT(--('Trial Balance Dump'!C96=All_Accounts_in_XERO))&gt;0,'Trial Balance Dump'!A96,"")</f>
        <v/>
      </c>
      <c r="B107" s="34" t="str" cm="1">
        <f t="array" ref="B107">IF(SUMPRODUCT(--('Trial Balance Dump'!C96=All_Accounts_in_XERO))&gt;0,'Trial Balance Dump'!B96,"")</f>
        <v/>
      </c>
      <c r="C107" s="34" t="str" cm="1">
        <f t="array" ref="C107">IF(SUMPRODUCT(--('Trial Balance Dump'!C96=All_Accounts_in_XERO))&gt;0,'Trial Balance Dump'!C96,"")</f>
        <v/>
      </c>
      <c r="D107" s="60"/>
      <c r="E107" s="63"/>
      <c r="G107" s="69" t="str">
        <f t="shared" si="1"/>
        <v/>
      </c>
    </row>
    <row r="108" spans="1:7" x14ac:dyDescent="0.4">
      <c r="A108" s="54" t="str" cm="1">
        <f t="array" ref="A108">IF(SUMPRODUCT(--('Trial Balance Dump'!C97=All_Accounts_in_XERO))&gt;0,'Trial Balance Dump'!A97,"")</f>
        <v/>
      </c>
      <c r="B108" s="34" t="str" cm="1">
        <f t="array" ref="B108">IF(SUMPRODUCT(--('Trial Balance Dump'!C97=All_Accounts_in_XERO))&gt;0,'Trial Balance Dump'!B97,"")</f>
        <v/>
      </c>
      <c r="C108" s="34" t="str" cm="1">
        <f t="array" ref="C108">IF(SUMPRODUCT(--('Trial Balance Dump'!C97=All_Accounts_in_XERO))&gt;0,'Trial Balance Dump'!C97,"")</f>
        <v/>
      </c>
      <c r="D108" s="60"/>
      <c r="E108" s="63"/>
      <c r="G108" s="69" t="str">
        <f t="shared" si="1"/>
        <v/>
      </c>
    </row>
    <row r="109" spans="1:7" x14ac:dyDescent="0.4">
      <c r="A109" s="54" t="str" cm="1">
        <f t="array" ref="A109">IF(SUMPRODUCT(--('Trial Balance Dump'!C98=All_Accounts_in_XERO))&gt;0,'Trial Balance Dump'!A98,"")</f>
        <v/>
      </c>
      <c r="B109" s="34" t="str" cm="1">
        <f t="array" ref="B109">IF(SUMPRODUCT(--('Trial Balance Dump'!C98=All_Accounts_in_XERO))&gt;0,'Trial Balance Dump'!B98,"")</f>
        <v/>
      </c>
      <c r="C109" s="34" t="str" cm="1">
        <f t="array" ref="C109">IF(SUMPRODUCT(--('Trial Balance Dump'!C98=All_Accounts_in_XERO))&gt;0,'Trial Balance Dump'!C98,"")</f>
        <v/>
      </c>
      <c r="D109" s="60"/>
      <c r="E109" s="63"/>
      <c r="G109" s="69" t="str">
        <f t="shared" si="1"/>
        <v/>
      </c>
    </row>
    <row r="110" spans="1:7" x14ac:dyDescent="0.4">
      <c r="A110" s="54" t="str" cm="1">
        <f t="array" ref="A110">IF(SUMPRODUCT(--('Trial Balance Dump'!C99=All_Accounts_in_XERO))&gt;0,'Trial Balance Dump'!A99,"")</f>
        <v/>
      </c>
      <c r="B110" s="34" t="str" cm="1">
        <f t="array" ref="B110">IF(SUMPRODUCT(--('Trial Balance Dump'!C99=All_Accounts_in_XERO))&gt;0,'Trial Balance Dump'!B99,"")</f>
        <v/>
      </c>
      <c r="C110" s="34" t="str" cm="1">
        <f t="array" ref="C110">IF(SUMPRODUCT(--('Trial Balance Dump'!C99=All_Accounts_in_XERO))&gt;0,'Trial Balance Dump'!C99,"")</f>
        <v/>
      </c>
      <c r="D110" s="60"/>
      <c r="E110" s="63"/>
      <c r="G110" s="69" t="str">
        <f t="shared" si="1"/>
        <v/>
      </c>
    </row>
    <row r="111" spans="1:7" x14ac:dyDescent="0.4">
      <c r="A111" s="54" t="str" cm="1">
        <f t="array" ref="A111">IF(SUMPRODUCT(--('Trial Balance Dump'!C100=All_Accounts_in_XERO))&gt;0,'Trial Balance Dump'!A100,"")</f>
        <v/>
      </c>
      <c r="B111" s="34" t="str" cm="1">
        <f t="array" ref="B111">IF(SUMPRODUCT(--('Trial Balance Dump'!C100=All_Accounts_in_XERO))&gt;0,'Trial Balance Dump'!B100,"")</f>
        <v/>
      </c>
      <c r="C111" s="34" t="str" cm="1">
        <f t="array" ref="C111">IF(SUMPRODUCT(--('Trial Balance Dump'!C100=All_Accounts_in_XERO))&gt;0,'Trial Balance Dump'!C100,"")</f>
        <v/>
      </c>
      <c r="D111" s="60"/>
      <c r="E111" s="63"/>
      <c r="G111" s="69" t="str">
        <f t="shared" si="1"/>
        <v/>
      </c>
    </row>
    <row r="112" spans="1:7" x14ac:dyDescent="0.4">
      <c r="A112" s="54" t="str" cm="1">
        <f t="array" ref="A112">IF(SUMPRODUCT(--('Trial Balance Dump'!C101=All_Accounts_in_XERO))&gt;0,'Trial Balance Dump'!A101,"")</f>
        <v/>
      </c>
      <c r="B112" s="34" t="str" cm="1">
        <f t="array" ref="B112">IF(SUMPRODUCT(--('Trial Balance Dump'!C101=All_Accounts_in_XERO))&gt;0,'Trial Balance Dump'!B101,"")</f>
        <v/>
      </c>
      <c r="C112" s="34" t="str" cm="1">
        <f t="array" ref="C112">IF(SUMPRODUCT(--('Trial Balance Dump'!C101=All_Accounts_in_XERO))&gt;0,'Trial Balance Dump'!C101,"")</f>
        <v/>
      </c>
      <c r="D112" s="60"/>
      <c r="E112" s="63"/>
      <c r="G112" s="69" t="str">
        <f t="shared" si="1"/>
        <v/>
      </c>
    </row>
    <row r="113" spans="1:7" x14ac:dyDescent="0.4">
      <c r="A113" s="54" t="str" cm="1">
        <f t="array" ref="A113">IF(SUMPRODUCT(--('Trial Balance Dump'!C102=All_Accounts_in_XERO))&gt;0,'Trial Balance Dump'!A102,"")</f>
        <v/>
      </c>
      <c r="B113" s="34" t="str" cm="1">
        <f t="array" ref="B113">IF(SUMPRODUCT(--('Trial Balance Dump'!C102=All_Accounts_in_XERO))&gt;0,'Trial Balance Dump'!B102,"")</f>
        <v/>
      </c>
      <c r="C113" s="34" t="str" cm="1">
        <f t="array" ref="C113">IF(SUMPRODUCT(--('Trial Balance Dump'!C102=All_Accounts_in_XERO))&gt;0,'Trial Balance Dump'!C102,"")</f>
        <v/>
      </c>
      <c r="D113" s="60"/>
      <c r="E113" s="63"/>
      <c r="G113" s="69" t="str">
        <f t="shared" si="1"/>
        <v/>
      </c>
    </row>
    <row r="114" spans="1:7" x14ac:dyDescent="0.4">
      <c r="A114" s="54" t="str" cm="1">
        <f t="array" ref="A114">IF(SUMPRODUCT(--('Trial Balance Dump'!C103=All_Accounts_in_XERO))&gt;0,'Trial Balance Dump'!A103,"")</f>
        <v/>
      </c>
      <c r="B114" s="34" t="str" cm="1">
        <f t="array" ref="B114">IF(SUMPRODUCT(--('Trial Balance Dump'!C103=All_Accounts_in_XERO))&gt;0,'Trial Balance Dump'!B103,"")</f>
        <v/>
      </c>
      <c r="C114" s="34" t="str" cm="1">
        <f t="array" ref="C114">IF(SUMPRODUCT(--('Trial Balance Dump'!C103=All_Accounts_in_XERO))&gt;0,'Trial Balance Dump'!C103,"")</f>
        <v/>
      </c>
      <c r="D114" s="60"/>
      <c r="E114" s="63"/>
      <c r="G114" s="69" t="str">
        <f t="shared" si="1"/>
        <v/>
      </c>
    </row>
    <row r="115" spans="1:7" x14ac:dyDescent="0.4">
      <c r="A115" s="54" t="str" cm="1">
        <f t="array" ref="A115">IF(SUMPRODUCT(--('Trial Balance Dump'!C104=All_Accounts_in_XERO))&gt;0,'Trial Balance Dump'!A104,"")</f>
        <v/>
      </c>
      <c r="B115" s="34" t="str" cm="1">
        <f t="array" ref="B115">IF(SUMPRODUCT(--('Trial Balance Dump'!C104=All_Accounts_in_XERO))&gt;0,'Trial Balance Dump'!B104,"")</f>
        <v/>
      </c>
      <c r="C115" s="34" t="str" cm="1">
        <f t="array" ref="C115">IF(SUMPRODUCT(--('Trial Balance Dump'!C104=All_Accounts_in_XERO))&gt;0,'Trial Balance Dump'!C104,"")</f>
        <v/>
      </c>
      <c r="D115" s="60"/>
      <c r="E115" s="63"/>
      <c r="G115" s="69" t="str">
        <f t="shared" si="1"/>
        <v/>
      </c>
    </row>
    <row r="116" spans="1:7" x14ac:dyDescent="0.4">
      <c r="A116" s="54" t="str" cm="1">
        <f t="array" ref="A116">IF(SUMPRODUCT(--('Trial Balance Dump'!C105=All_Accounts_in_XERO))&gt;0,'Trial Balance Dump'!A105,"")</f>
        <v/>
      </c>
      <c r="B116" s="34" t="str" cm="1">
        <f t="array" ref="B116">IF(SUMPRODUCT(--('Trial Balance Dump'!C105=All_Accounts_in_XERO))&gt;0,'Trial Balance Dump'!B105,"")</f>
        <v/>
      </c>
      <c r="C116" s="34" t="str" cm="1">
        <f t="array" ref="C116">IF(SUMPRODUCT(--('Trial Balance Dump'!C105=All_Accounts_in_XERO))&gt;0,'Trial Balance Dump'!C105,"")</f>
        <v/>
      </c>
      <c r="D116" s="60"/>
      <c r="E116" s="63"/>
      <c r="G116" s="69" t="str">
        <f t="shared" si="1"/>
        <v/>
      </c>
    </row>
    <row r="117" spans="1:7" x14ac:dyDescent="0.4">
      <c r="A117" s="54" t="str" cm="1">
        <f t="array" ref="A117">IF(SUMPRODUCT(--('Trial Balance Dump'!C106=All_Accounts_in_XERO))&gt;0,'Trial Balance Dump'!A106,"")</f>
        <v/>
      </c>
      <c r="B117" s="34" t="str" cm="1">
        <f t="array" ref="B117">IF(SUMPRODUCT(--('Trial Balance Dump'!C106=All_Accounts_in_XERO))&gt;0,'Trial Balance Dump'!B106,"")</f>
        <v/>
      </c>
      <c r="C117" s="34" t="str" cm="1">
        <f t="array" ref="C117">IF(SUMPRODUCT(--('Trial Balance Dump'!C106=All_Accounts_in_XERO))&gt;0,'Trial Balance Dump'!C106,"")</f>
        <v/>
      </c>
      <c r="D117" s="60"/>
      <c r="E117" s="63"/>
      <c r="G117" s="69" t="str">
        <f t="shared" si="1"/>
        <v/>
      </c>
    </row>
    <row r="118" spans="1:7" x14ac:dyDescent="0.4">
      <c r="A118" s="54" t="str" cm="1">
        <f t="array" ref="A118">IF(SUMPRODUCT(--('Trial Balance Dump'!C107=All_Accounts_in_XERO))&gt;0,'Trial Balance Dump'!A107,"")</f>
        <v/>
      </c>
      <c r="B118" s="34" t="str" cm="1">
        <f t="array" ref="B118">IF(SUMPRODUCT(--('Trial Balance Dump'!C107=All_Accounts_in_XERO))&gt;0,'Trial Balance Dump'!B107,"")</f>
        <v/>
      </c>
      <c r="C118" s="34" t="str" cm="1">
        <f t="array" ref="C118">IF(SUMPRODUCT(--('Trial Balance Dump'!C107=All_Accounts_in_XERO))&gt;0,'Trial Balance Dump'!C107,"")</f>
        <v/>
      </c>
      <c r="D118" s="60"/>
      <c r="E118" s="63"/>
      <c r="G118" s="69" t="str">
        <f t="shared" si="1"/>
        <v/>
      </c>
    </row>
    <row r="119" spans="1:7" x14ac:dyDescent="0.4">
      <c r="A119" s="54" t="str" cm="1">
        <f t="array" ref="A119">IF(SUMPRODUCT(--('Trial Balance Dump'!C108=All_Accounts_in_XERO))&gt;0,'Trial Balance Dump'!A108,"")</f>
        <v/>
      </c>
      <c r="B119" s="34" t="str" cm="1">
        <f t="array" ref="B119">IF(SUMPRODUCT(--('Trial Balance Dump'!C108=All_Accounts_in_XERO))&gt;0,'Trial Balance Dump'!B108,"")</f>
        <v/>
      </c>
      <c r="C119" s="34" t="str" cm="1">
        <f t="array" ref="C119">IF(SUMPRODUCT(--('Trial Balance Dump'!C108=All_Accounts_in_XERO))&gt;0,'Trial Balance Dump'!C108,"")</f>
        <v/>
      </c>
      <c r="D119" s="60"/>
      <c r="E119" s="63"/>
      <c r="G119" s="69" t="str">
        <f t="shared" si="1"/>
        <v/>
      </c>
    </row>
    <row r="120" spans="1:7" x14ac:dyDescent="0.4">
      <c r="A120" s="54" t="str" cm="1">
        <f t="array" ref="A120">IF(SUMPRODUCT(--('Trial Balance Dump'!C109=All_Accounts_in_XERO))&gt;0,'Trial Balance Dump'!A109,"")</f>
        <v/>
      </c>
      <c r="B120" s="34" t="str" cm="1">
        <f t="array" ref="B120">IF(SUMPRODUCT(--('Trial Balance Dump'!C109=All_Accounts_in_XERO))&gt;0,'Trial Balance Dump'!B109,"")</f>
        <v/>
      </c>
      <c r="C120" s="34" t="str" cm="1">
        <f t="array" ref="C120">IF(SUMPRODUCT(--('Trial Balance Dump'!C109=All_Accounts_in_XERO))&gt;0,'Trial Balance Dump'!C109,"")</f>
        <v/>
      </c>
      <c r="D120" s="60"/>
      <c r="E120" s="63"/>
      <c r="G120" s="69" t="str">
        <f t="shared" si="1"/>
        <v/>
      </c>
    </row>
    <row r="121" spans="1:7" x14ac:dyDescent="0.4">
      <c r="A121" s="54" t="str" cm="1">
        <f t="array" ref="A121">IF(SUMPRODUCT(--('Trial Balance Dump'!C110=All_Accounts_in_XERO))&gt;0,'Trial Balance Dump'!A110,"")</f>
        <v/>
      </c>
      <c r="B121" s="34" t="str" cm="1">
        <f t="array" ref="B121">IF(SUMPRODUCT(--('Trial Balance Dump'!C110=All_Accounts_in_XERO))&gt;0,'Trial Balance Dump'!B110,"")</f>
        <v/>
      </c>
      <c r="C121" s="34" t="str" cm="1">
        <f t="array" ref="C121">IF(SUMPRODUCT(--('Trial Balance Dump'!C110=All_Accounts_in_XERO))&gt;0,'Trial Balance Dump'!C110,"")</f>
        <v/>
      </c>
      <c r="D121" s="60"/>
      <c r="E121" s="63"/>
      <c r="G121" s="69" t="str">
        <f t="shared" si="1"/>
        <v/>
      </c>
    </row>
    <row r="122" spans="1:7" x14ac:dyDescent="0.4">
      <c r="A122" s="54" t="str" cm="1">
        <f t="array" ref="A122">IF(SUMPRODUCT(--('Trial Balance Dump'!C111=All_Accounts_in_XERO))&gt;0,'Trial Balance Dump'!A111,"")</f>
        <v/>
      </c>
      <c r="B122" s="34" t="str" cm="1">
        <f t="array" ref="B122">IF(SUMPRODUCT(--('Trial Balance Dump'!C111=All_Accounts_in_XERO))&gt;0,'Trial Balance Dump'!B111,"")</f>
        <v/>
      </c>
      <c r="C122" s="34" t="str" cm="1">
        <f t="array" ref="C122">IF(SUMPRODUCT(--('Trial Balance Dump'!C111=All_Accounts_in_XERO))&gt;0,'Trial Balance Dump'!C111,"")</f>
        <v/>
      </c>
      <c r="D122" s="60"/>
      <c r="E122" s="63"/>
      <c r="G122" s="69" t="str">
        <f t="shared" si="1"/>
        <v/>
      </c>
    </row>
    <row r="123" spans="1:7" x14ac:dyDescent="0.4">
      <c r="A123" s="54" t="str" cm="1">
        <f t="array" ref="A123">IF(SUMPRODUCT(--('Trial Balance Dump'!C112=All_Accounts_in_XERO))&gt;0,'Trial Balance Dump'!A112,"")</f>
        <v/>
      </c>
      <c r="B123" s="34" t="str" cm="1">
        <f t="array" ref="B123">IF(SUMPRODUCT(--('Trial Balance Dump'!C112=All_Accounts_in_XERO))&gt;0,'Trial Balance Dump'!B112,"")</f>
        <v/>
      </c>
      <c r="C123" s="34" t="str" cm="1">
        <f t="array" ref="C123">IF(SUMPRODUCT(--('Trial Balance Dump'!C112=All_Accounts_in_XERO))&gt;0,'Trial Balance Dump'!C112,"")</f>
        <v/>
      </c>
      <c r="D123" s="60"/>
      <c r="G123" s="69" t="str">
        <f t="shared" si="1"/>
        <v/>
      </c>
    </row>
    <row r="124" spans="1:7" x14ac:dyDescent="0.4">
      <c r="A124" s="54" t="str" cm="1">
        <f t="array" ref="A124">IF(SUMPRODUCT(--('Trial Balance Dump'!C113=All_Accounts_in_XERO))&gt;0,'Trial Balance Dump'!A113,"")</f>
        <v/>
      </c>
      <c r="B124" s="34" t="str" cm="1">
        <f t="array" ref="B124">IF(SUMPRODUCT(--('Trial Balance Dump'!C113=All_Accounts_in_XERO))&gt;0,'Trial Balance Dump'!B113,"")</f>
        <v/>
      </c>
      <c r="C124" s="34" t="str" cm="1">
        <f t="array" ref="C124">IF(SUMPRODUCT(--('Trial Balance Dump'!C113=All_Accounts_in_XERO))&gt;0,'Trial Balance Dump'!C113,"")</f>
        <v/>
      </c>
      <c r="D124" s="60"/>
      <c r="G124" s="69" t="str">
        <f t="shared" si="1"/>
        <v/>
      </c>
    </row>
    <row r="125" spans="1:7" x14ac:dyDescent="0.4">
      <c r="A125" s="54" t="str" cm="1">
        <f t="array" ref="A125">IF(SUMPRODUCT(--('Trial Balance Dump'!C114=All_Accounts_in_XERO))&gt;0,'Trial Balance Dump'!A114,"")</f>
        <v/>
      </c>
      <c r="B125" s="34" t="str" cm="1">
        <f t="array" ref="B125">IF(SUMPRODUCT(--('Trial Balance Dump'!C114=All_Accounts_in_XERO))&gt;0,'Trial Balance Dump'!B114,"")</f>
        <v/>
      </c>
      <c r="C125" s="34" t="str" cm="1">
        <f t="array" ref="C125">IF(SUMPRODUCT(--('Trial Balance Dump'!C114=All_Accounts_in_XERO))&gt;0,'Trial Balance Dump'!C114,"")</f>
        <v/>
      </c>
      <c r="D125" s="60"/>
      <c r="G125" s="69" t="str">
        <f t="shared" si="1"/>
        <v/>
      </c>
    </row>
    <row r="126" spans="1:7" x14ac:dyDescent="0.4">
      <c r="A126" s="54" t="str" cm="1">
        <f t="array" ref="A126">IF(SUMPRODUCT(--('Trial Balance Dump'!C115=All_Accounts_in_XERO))&gt;0,'Trial Balance Dump'!A115,"")</f>
        <v/>
      </c>
      <c r="B126" s="34" t="str" cm="1">
        <f t="array" ref="B126">IF(SUMPRODUCT(--('Trial Balance Dump'!C115=All_Accounts_in_XERO))&gt;0,'Trial Balance Dump'!B115,"")</f>
        <v/>
      </c>
      <c r="C126" s="34" t="str" cm="1">
        <f t="array" ref="C126">IF(SUMPRODUCT(--('Trial Balance Dump'!C115=All_Accounts_in_XERO))&gt;0,'Trial Balance Dump'!C115,"")</f>
        <v/>
      </c>
      <c r="D126" s="60"/>
      <c r="G126" s="69" t="str">
        <f t="shared" si="1"/>
        <v/>
      </c>
    </row>
    <row r="127" spans="1:7" x14ac:dyDescent="0.4">
      <c r="A127" s="54" t="str" cm="1">
        <f t="array" ref="A127">IF(SUMPRODUCT(--('Trial Balance Dump'!C116=All_Accounts_in_XERO))&gt;0,'Trial Balance Dump'!A116,"")</f>
        <v/>
      </c>
      <c r="B127" s="34" t="str" cm="1">
        <f t="array" ref="B127">IF(SUMPRODUCT(--('Trial Balance Dump'!C116=All_Accounts_in_XERO))&gt;0,'Trial Balance Dump'!B116,"")</f>
        <v/>
      </c>
      <c r="C127" s="34" t="str" cm="1">
        <f t="array" ref="C127">IF(SUMPRODUCT(--('Trial Balance Dump'!C116=All_Accounts_in_XERO))&gt;0,'Trial Balance Dump'!C116,"")</f>
        <v/>
      </c>
      <c r="D127" s="60"/>
      <c r="G127" s="69" t="str">
        <f t="shared" si="1"/>
        <v/>
      </c>
    </row>
    <row r="128" spans="1:7" x14ac:dyDescent="0.4">
      <c r="A128" s="54" t="str" cm="1">
        <f t="array" ref="A128">IF(SUMPRODUCT(--('Trial Balance Dump'!C117=All_Accounts_in_XERO))&gt;0,'Trial Balance Dump'!A117,"")</f>
        <v/>
      </c>
      <c r="B128" s="34" t="str" cm="1">
        <f t="array" ref="B128">IF(SUMPRODUCT(--('Trial Balance Dump'!C117=All_Accounts_in_XERO))&gt;0,'Trial Balance Dump'!B117,"")</f>
        <v/>
      </c>
      <c r="C128" s="34" t="str" cm="1">
        <f t="array" ref="C128">IF(SUMPRODUCT(--('Trial Balance Dump'!C117=All_Accounts_in_XERO))&gt;0,'Trial Balance Dump'!C117,"")</f>
        <v/>
      </c>
      <c r="D128" s="60"/>
      <c r="G128" s="69" t="str">
        <f t="shared" si="1"/>
        <v/>
      </c>
    </row>
    <row r="129" spans="1:7" x14ac:dyDescent="0.4">
      <c r="A129" s="54" t="str" cm="1">
        <f t="array" ref="A129">IF(SUMPRODUCT(--('Trial Balance Dump'!C118=All_Accounts_in_XERO))&gt;0,'Trial Balance Dump'!A118,"")</f>
        <v/>
      </c>
      <c r="B129" s="34" t="str" cm="1">
        <f t="array" ref="B129">IF(SUMPRODUCT(--('Trial Balance Dump'!C118=All_Accounts_in_XERO))&gt;0,'Trial Balance Dump'!B118,"")</f>
        <v/>
      </c>
      <c r="C129" s="34" t="str" cm="1">
        <f t="array" ref="C129">IF(SUMPRODUCT(--('Trial Balance Dump'!C118=All_Accounts_in_XERO))&gt;0,'Trial Balance Dump'!C118,"")</f>
        <v/>
      </c>
      <c r="D129" s="60"/>
      <c r="G129" s="69" t="str">
        <f t="shared" si="1"/>
        <v/>
      </c>
    </row>
    <row r="130" spans="1:7" x14ac:dyDescent="0.4">
      <c r="A130" s="54" t="str" cm="1">
        <f t="array" ref="A130">IF(SUMPRODUCT(--('Trial Balance Dump'!C119=All_Accounts_in_XERO))&gt;0,'Trial Balance Dump'!A119,"")</f>
        <v/>
      </c>
      <c r="B130" s="34" t="str" cm="1">
        <f t="array" ref="B130">IF(SUMPRODUCT(--('Trial Balance Dump'!C119=All_Accounts_in_XERO))&gt;0,'Trial Balance Dump'!B119,"")</f>
        <v/>
      </c>
      <c r="C130" s="34" t="str" cm="1">
        <f t="array" ref="C130">IF(SUMPRODUCT(--('Trial Balance Dump'!C119=All_Accounts_in_XERO))&gt;0,'Trial Balance Dump'!C119,"")</f>
        <v/>
      </c>
      <c r="D130" s="60"/>
      <c r="G130" s="69" t="str">
        <f t="shared" si="1"/>
        <v/>
      </c>
    </row>
    <row r="131" spans="1:7" x14ac:dyDescent="0.4">
      <c r="A131" s="54" t="str" cm="1">
        <f t="array" ref="A131">IF(SUMPRODUCT(--('Trial Balance Dump'!C120=All_Accounts_in_XERO))&gt;0,'Trial Balance Dump'!A120,"")</f>
        <v/>
      </c>
      <c r="B131" s="34" t="str" cm="1">
        <f t="array" ref="B131">IF(SUMPRODUCT(--('Trial Balance Dump'!C120=All_Accounts_in_XERO))&gt;0,'Trial Balance Dump'!B120,"")</f>
        <v/>
      </c>
      <c r="C131" s="34" t="str" cm="1">
        <f t="array" ref="C131">IF(SUMPRODUCT(--('Trial Balance Dump'!C120=All_Accounts_in_XERO))&gt;0,'Trial Balance Dump'!C120,"")</f>
        <v/>
      </c>
      <c r="D131" s="60"/>
      <c r="G131" s="69" t="str">
        <f t="shared" si="1"/>
        <v/>
      </c>
    </row>
    <row r="132" spans="1:7" x14ac:dyDescent="0.4">
      <c r="A132" s="54" t="str" cm="1">
        <f t="array" ref="A132">IF(SUMPRODUCT(--('Trial Balance Dump'!C121=All_Accounts_in_XERO))&gt;0,'Trial Balance Dump'!A121,"")</f>
        <v/>
      </c>
      <c r="B132" s="34" t="str" cm="1">
        <f t="array" ref="B132">IF(SUMPRODUCT(--('Trial Balance Dump'!C121=All_Accounts_in_XERO))&gt;0,'Trial Balance Dump'!B121,"")</f>
        <v/>
      </c>
      <c r="C132" s="34" t="str" cm="1">
        <f t="array" ref="C132">IF(SUMPRODUCT(--('Trial Balance Dump'!C121=All_Accounts_in_XERO))&gt;0,'Trial Balance Dump'!C121,"")</f>
        <v/>
      </c>
      <c r="D132" s="60"/>
      <c r="G132" s="69" t="str">
        <f t="shared" si="1"/>
        <v/>
      </c>
    </row>
    <row r="133" spans="1:7" x14ac:dyDescent="0.4">
      <c r="A133" s="54" t="str" cm="1">
        <f t="array" ref="A133">IF(SUMPRODUCT(--('Trial Balance Dump'!C122=All_Accounts_in_XERO))&gt;0,'Trial Balance Dump'!A122,"")</f>
        <v/>
      </c>
      <c r="B133" s="34" t="str" cm="1">
        <f t="array" ref="B133">IF(SUMPRODUCT(--('Trial Balance Dump'!C122=All_Accounts_in_XERO))&gt;0,'Trial Balance Dump'!B122,"")</f>
        <v/>
      </c>
      <c r="C133" s="34" t="str" cm="1">
        <f t="array" ref="C133">IF(SUMPRODUCT(--('Trial Balance Dump'!C122=All_Accounts_in_XERO))&gt;0,'Trial Balance Dump'!C122,"")</f>
        <v/>
      </c>
      <c r="D133" s="60"/>
      <c r="G133" s="69" t="str">
        <f t="shared" si="1"/>
        <v/>
      </c>
    </row>
    <row r="134" spans="1:7" x14ac:dyDescent="0.4">
      <c r="A134" s="54" t="str" cm="1">
        <f t="array" ref="A134">IF(SUMPRODUCT(--('Trial Balance Dump'!C123=All_Accounts_in_XERO))&gt;0,'Trial Balance Dump'!A123,"")</f>
        <v/>
      </c>
      <c r="B134" s="34" t="str" cm="1">
        <f t="array" ref="B134">IF(SUMPRODUCT(--('Trial Balance Dump'!C123=All_Accounts_in_XERO))&gt;0,'Trial Balance Dump'!B123,"")</f>
        <v/>
      </c>
      <c r="C134" s="34" t="str" cm="1">
        <f t="array" ref="C134">IF(SUMPRODUCT(--('Trial Balance Dump'!C123=All_Accounts_in_XERO))&gt;0,'Trial Balance Dump'!C123,"")</f>
        <v/>
      </c>
      <c r="D134" s="60"/>
      <c r="G134" s="69" t="str">
        <f t="shared" si="1"/>
        <v/>
      </c>
    </row>
    <row r="135" spans="1:7" x14ac:dyDescent="0.4">
      <c r="A135" s="54" t="str" cm="1">
        <f t="array" ref="A135">IF(SUMPRODUCT(--('Trial Balance Dump'!C124=All_Accounts_in_XERO))&gt;0,'Trial Balance Dump'!A124,"")</f>
        <v/>
      </c>
      <c r="B135" s="34" t="str" cm="1">
        <f t="array" ref="B135">IF(SUMPRODUCT(--('Trial Balance Dump'!C124=All_Accounts_in_XERO))&gt;0,'Trial Balance Dump'!B124,"")</f>
        <v/>
      </c>
      <c r="C135" s="34" t="str" cm="1">
        <f t="array" ref="C135">IF(SUMPRODUCT(--('Trial Balance Dump'!C124=All_Accounts_in_XERO))&gt;0,'Trial Balance Dump'!C124,"")</f>
        <v/>
      </c>
      <c r="D135" s="60"/>
      <c r="G135" s="69" t="str">
        <f t="shared" si="1"/>
        <v/>
      </c>
    </row>
    <row r="136" spans="1:7" x14ac:dyDescent="0.4">
      <c r="A136" s="54" t="str" cm="1">
        <f t="array" ref="A136">IF(SUMPRODUCT(--('Trial Balance Dump'!C125=All_Accounts_in_XERO))&gt;0,'Trial Balance Dump'!A125,"")</f>
        <v/>
      </c>
      <c r="B136" s="34" t="str" cm="1">
        <f t="array" ref="B136">IF(SUMPRODUCT(--('Trial Balance Dump'!C125=All_Accounts_in_XERO))&gt;0,'Trial Balance Dump'!B125,"")</f>
        <v/>
      </c>
      <c r="C136" s="34" t="str" cm="1">
        <f t="array" ref="C136">IF(SUMPRODUCT(--('Trial Balance Dump'!C125=All_Accounts_in_XERO))&gt;0,'Trial Balance Dump'!C125,"")</f>
        <v/>
      </c>
      <c r="D136" s="60"/>
      <c r="G136" s="69" t="str">
        <f t="shared" si="1"/>
        <v/>
      </c>
    </row>
    <row r="137" spans="1:7" x14ac:dyDescent="0.4">
      <c r="A137" s="54" t="str" cm="1">
        <f t="array" ref="A137">IF(SUMPRODUCT(--('Trial Balance Dump'!C126=All_Accounts_in_XERO))&gt;0,'Trial Balance Dump'!A126,"")</f>
        <v/>
      </c>
      <c r="B137" s="34" t="str" cm="1">
        <f t="array" ref="B137">IF(SUMPRODUCT(--('Trial Balance Dump'!C126=All_Accounts_in_XERO))&gt;0,'Trial Balance Dump'!B126,"")</f>
        <v/>
      </c>
      <c r="C137" s="34" t="str" cm="1">
        <f t="array" ref="C137">IF(SUMPRODUCT(--('Trial Balance Dump'!C126=All_Accounts_in_XERO))&gt;0,'Trial Balance Dump'!C126,"")</f>
        <v/>
      </c>
      <c r="D137" s="60"/>
      <c r="G137" s="69" t="str">
        <f t="shared" si="1"/>
        <v/>
      </c>
    </row>
    <row r="138" spans="1:7" x14ac:dyDescent="0.4">
      <c r="A138" s="54" t="str" cm="1">
        <f t="array" ref="A138">IF(SUMPRODUCT(--('Trial Balance Dump'!C127=All_Accounts_in_XERO))&gt;0,'Trial Balance Dump'!A127,"")</f>
        <v/>
      </c>
      <c r="B138" s="34" t="str" cm="1">
        <f t="array" ref="B138">IF(SUMPRODUCT(--('Trial Balance Dump'!C127=All_Accounts_in_XERO))&gt;0,'Trial Balance Dump'!B127,"")</f>
        <v/>
      </c>
      <c r="C138" s="34" t="str" cm="1">
        <f t="array" ref="C138">IF(SUMPRODUCT(--('Trial Balance Dump'!C127=All_Accounts_in_XERO))&gt;0,'Trial Balance Dump'!C127,"")</f>
        <v/>
      </c>
      <c r="D138" s="60"/>
      <c r="G138" s="69" t="str">
        <f t="shared" si="1"/>
        <v/>
      </c>
    </row>
    <row r="139" spans="1:7" x14ac:dyDescent="0.4">
      <c r="A139" s="54" t="str" cm="1">
        <f t="array" ref="A139">IF(SUMPRODUCT(--('Trial Balance Dump'!C128=All_Accounts_in_XERO))&gt;0,'Trial Balance Dump'!A128,"")</f>
        <v/>
      </c>
      <c r="B139" s="34" t="str" cm="1">
        <f t="array" ref="B139">IF(SUMPRODUCT(--('Trial Balance Dump'!C128=All_Accounts_in_XERO))&gt;0,'Trial Balance Dump'!B128,"")</f>
        <v/>
      </c>
      <c r="C139" s="34" t="str" cm="1">
        <f t="array" ref="C139">IF(SUMPRODUCT(--('Trial Balance Dump'!C128=All_Accounts_in_XERO))&gt;0,'Trial Balance Dump'!C128,"")</f>
        <v/>
      </c>
      <c r="D139" s="60"/>
      <c r="G139" s="69" t="str">
        <f t="shared" si="1"/>
        <v/>
      </c>
    </row>
    <row r="140" spans="1:7" x14ac:dyDescent="0.4">
      <c r="A140" s="54" t="str" cm="1">
        <f t="array" ref="A140">IF(SUMPRODUCT(--('Trial Balance Dump'!C129=All_Accounts_in_XERO))&gt;0,'Trial Balance Dump'!A129,"")</f>
        <v/>
      </c>
      <c r="B140" s="34" t="str" cm="1">
        <f t="array" ref="B140">IF(SUMPRODUCT(--('Trial Balance Dump'!C129=All_Accounts_in_XERO))&gt;0,'Trial Balance Dump'!B129,"")</f>
        <v/>
      </c>
      <c r="C140" s="34" t="str" cm="1">
        <f t="array" ref="C140">IF(SUMPRODUCT(--('Trial Balance Dump'!C129=All_Accounts_in_XERO))&gt;0,'Trial Balance Dump'!C129,"")</f>
        <v/>
      </c>
      <c r="D140" s="60"/>
      <c r="G140" s="69" t="str">
        <f t="shared" si="1"/>
        <v/>
      </c>
    </row>
    <row r="141" spans="1:7" x14ac:dyDescent="0.4">
      <c r="A141" s="54" t="str" cm="1">
        <f t="array" ref="A141">IF(SUMPRODUCT(--('Trial Balance Dump'!C130=All_Accounts_in_XERO))&gt;0,'Trial Balance Dump'!A130,"")</f>
        <v/>
      </c>
      <c r="B141" s="34" t="str" cm="1">
        <f t="array" ref="B141">IF(SUMPRODUCT(--('Trial Balance Dump'!C130=All_Accounts_in_XERO))&gt;0,'Trial Balance Dump'!B130,"")</f>
        <v/>
      </c>
      <c r="C141" s="34" t="str" cm="1">
        <f t="array" ref="C141">IF(SUMPRODUCT(--('Trial Balance Dump'!C130=All_Accounts_in_XERO))&gt;0,'Trial Balance Dump'!C130,"")</f>
        <v/>
      </c>
      <c r="D141" s="60"/>
      <c r="G141" s="69" t="str">
        <f t="shared" si="1"/>
        <v/>
      </c>
    </row>
    <row r="142" spans="1:7" x14ac:dyDescent="0.4">
      <c r="A142" s="54" t="str" cm="1">
        <f t="array" ref="A142">IF(SUMPRODUCT(--('Trial Balance Dump'!C131=All_Accounts_in_XERO))&gt;0,'Trial Balance Dump'!A131,"")</f>
        <v/>
      </c>
      <c r="B142" s="34" t="str" cm="1">
        <f t="array" ref="B142">IF(SUMPRODUCT(--('Trial Balance Dump'!C131=All_Accounts_in_XERO))&gt;0,'Trial Balance Dump'!B131,"")</f>
        <v/>
      </c>
      <c r="C142" s="34" t="str" cm="1">
        <f t="array" ref="C142">IF(SUMPRODUCT(--('Trial Balance Dump'!C131=All_Accounts_in_XERO))&gt;0,'Trial Balance Dump'!C131,"")</f>
        <v/>
      </c>
      <c r="D142" s="60"/>
      <c r="G142" s="69" t="str">
        <f t="shared" si="1"/>
        <v/>
      </c>
    </row>
    <row r="143" spans="1:7" x14ac:dyDescent="0.4">
      <c r="A143" s="54" t="str" cm="1">
        <f t="array" ref="A143">IF(SUMPRODUCT(--('Trial Balance Dump'!C132=All_Accounts_in_XERO))&gt;0,'Trial Balance Dump'!A132,"")</f>
        <v/>
      </c>
      <c r="B143" s="34" t="str" cm="1">
        <f t="array" ref="B143">IF(SUMPRODUCT(--('Trial Balance Dump'!C132=All_Accounts_in_XERO))&gt;0,'Trial Balance Dump'!B132,"")</f>
        <v/>
      </c>
      <c r="C143" s="34" t="str" cm="1">
        <f t="array" ref="C143">IF(SUMPRODUCT(--('Trial Balance Dump'!C132=All_Accounts_in_XERO))&gt;0,'Trial Balance Dump'!C132,"")</f>
        <v/>
      </c>
      <c r="D143" s="60"/>
      <c r="G143" s="69" t="str">
        <f t="shared" si="1"/>
        <v/>
      </c>
    </row>
    <row r="144" spans="1:7" x14ac:dyDescent="0.4">
      <c r="A144" s="54" t="str" cm="1">
        <f t="array" ref="A144">IF(SUMPRODUCT(--('Trial Balance Dump'!C133=All_Accounts_in_XERO))&gt;0,'Trial Balance Dump'!A133,"")</f>
        <v/>
      </c>
      <c r="B144" s="34" t="str" cm="1">
        <f t="array" ref="B144">IF(SUMPRODUCT(--('Trial Balance Dump'!C133=All_Accounts_in_XERO))&gt;0,'Trial Balance Dump'!B133,"")</f>
        <v/>
      </c>
      <c r="C144" s="34" t="str" cm="1">
        <f t="array" ref="C144">IF(SUMPRODUCT(--('Trial Balance Dump'!C133=All_Accounts_in_XERO))&gt;0,'Trial Balance Dump'!C133,"")</f>
        <v/>
      </c>
      <c r="D144" s="60"/>
      <c r="G144" s="69" t="str">
        <f t="shared" si="1"/>
        <v/>
      </c>
    </row>
    <row r="145" spans="1:7" x14ac:dyDescent="0.4">
      <c r="A145" s="54" t="str" cm="1">
        <f t="array" ref="A145">IF(SUMPRODUCT(--('Trial Balance Dump'!C134=All_Accounts_in_XERO))&gt;0,'Trial Balance Dump'!A134,"")</f>
        <v/>
      </c>
      <c r="B145" s="34" t="str" cm="1">
        <f t="array" ref="B145">IF(SUMPRODUCT(--('Trial Balance Dump'!C134=All_Accounts_in_XERO))&gt;0,'Trial Balance Dump'!B134,"")</f>
        <v/>
      </c>
      <c r="C145" s="34" t="str" cm="1">
        <f t="array" ref="C145">IF(SUMPRODUCT(--('Trial Balance Dump'!C134=All_Accounts_in_XERO))&gt;0,'Trial Balance Dump'!C134,"")</f>
        <v/>
      </c>
      <c r="D145" s="60"/>
      <c r="G145" s="69" t="str">
        <f t="shared" si="1"/>
        <v/>
      </c>
    </row>
    <row r="146" spans="1:7" x14ac:dyDescent="0.4">
      <c r="A146" s="54" t="str" cm="1">
        <f t="array" ref="A146">IF(SUMPRODUCT(--('Trial Balance Dump'!C135=All_Accounts_in_XERO))&gt;0,'Trial Balance Dump'!A135,"")</f>
        <v/>
      </c>
      <c r="B146" s="34" t="str" cm="1">
        <f t="array" ref="B146">IF(SUMPRODUCT(--('Trial Balance Dump'!C135=All_Accounts_in_XERO))&gt;0,'Trial Balance Dump'!B135,"")</f>
        <v/>
      </c>
      <c r="C146" s="34" t="str" cm="1">
        <f t="array" ref="C146">IF(SUMPRODUCT(--('Trial Balance Dump'!C135=All_Accounts_in_XERO))&gt;0,'Trial Balance Dump'!C135,"")</f>
        <v/>
      </c>
      <c r="D146" s="60"/>
      <c r="G146" s="69" t="str">
        <f t="shared" ref="G146:G209" si="2">IF(ISNA(VLOOKUP(E146, I:K, 3, FALSE)), "", IF(VLOOKUP(E146, I:K, 3, FALSE) = "", "", IF(F146 = VLOOKUP(E146, I:K, 3, FALSE), "✓", "")))</f>
        <v/>
      </c>
    </row>
    <row r="147" spans="1:7" x14ac:dyDescent="0.4">
      <c r="A147" s="54" t="str" cm="1">
        <f t="array" ref="A147">IF(SUMPRODUCT(--('Trial Balance Dump'!C136=All_Accounts_in_XERO))&gt;0,'Trial Balance Dump'!A136,"")</f>
        <v/>
      </c>
      <c r="B147" s="34" t="str" cm="1">
        <f t="array" ref="B147">IF(SUMPRODUCT(--('Trial Balance Dump'!C136=All_Accounts_in_XERO))&gt;0,'Trial Balance Dump'!B136,"")</f>
        <v/>
      </c>
      <c r="C147" s="34" t="str" cm="1">
        <f t="array" ref="C147">IF(SUMPRODUCT(--('Trial Balance Dump'!C136=All_Accounts_in_XERO))&gt;0,'Trial Balance Dump'!C136,"")</f>
        <v/>
      </c>
      <c r="D147" s="60"/>
      <c r="G147" s="69" t="str">
        <f t="shared" si="2"/>
        <v/>
      </c>
    </row>
    <row r="148" spans="1:7" x14ac:dyDescent="0.4">
      <c r="A148" s="54" t="str" cm="1">
        <f t="array" ref="A148">IF(SUMPRODUCT(--('Trial Balance Dump'!C137=All_Accounts_in_XERO))&gt;0,'Trial Balance Dump'!A137,"")</f>
        <v/>
      </c>
      <c r="B148" s="34" t="str" cm="1">
        <f t="array" ref="B148">IF(SUMPRODUCT(--('Trial Balance Dump'!C137=All_Accounts_in_XERO))&gt;0,'Trial Balance Dump'!B137,"")</f>
        <v/>
      </c>
      <c r="C148" s="34" t="str" cm="1">
        <f t="array" ref="C148">IF(SUMPRODUCT(--('Trial Balance Dump'!C137=All_Accounts_in_XERO))&gt;0,'Trial Balance Dump'!C137,"")</f>
        <v/>
      </c>
      <c r="D148" s="60"/>
      <c r="G148" s="69" t="str">
        <f t="shared" si="2"/>
        <v/>
      </c>
    </row>
    <row r="149" spans="1:7" x14ac:dyDescent="0.4">
      <c r="A149" s="54" t="str" cm="1">
        <f t="array" ref="A149">IF(SUMPRODUCT(--('Trial Balance Dump'!C138=All_Accounts_in_XERO))&gt;0,'Trial Balance Dump'!A138,"")</f>
        <v/>
      </c>
      <c r="B149" s="34" t="str" cm="1">
        <f t="array" ref="B149">IF(SUMPRODUCT(--('Trial Balance Dump'!C138=All_Accounts_in_XERO))&gt;0,'Trial Balance Dump'!B138,"")</f>
        <v/>
      </c>
      <c r="C149" s="34" t="str" cm="1">
        <f t="array" ref="C149">IF(SUMPRODUCT(--('Trial Balance Dump'!C138=All_Accounts_in_XERO))&gt;0,'Trial Balance Dump'!C138,"")</f>
        <v/>
      </c>
      <c r="D149" s="60"/>
      <c r="G149" s="69" t="str">
        <f t="shared" si="2"/>
        <v/>
      </c>
    </row>
    <row r="150" spans="1:7" x14ac:dyDescent="0.4">
      <c r="A150" s="54" t="str" cm="1">
        <f t="array" ref="A150">IF(SUMPRODUCT(--('Trial Balance Dump'!C139=All_Accounts_in_XERO))&gt;0,'Trial Balance Dump'!A139,"")</f>
        <v/>
      </c>
      <c r="B150" s="34" t="str" cm="1">
        <f t="array" ref="B150">IF(SUMPRODUCT(--('Trial Balance Dump'!C139=All_Accounts_in_XERO))&gt;0,'Trial Balance Dump'!B139,"")</f>
        <v/>
      </c>
      <c r="C150" s="34" t="str" cm="1">
        <f t="array" ref="C150">IF(SUMPRODUCT(--('Trial Balance Dump'!C139=All_Accounts_in_XERO))&gt;0,'Trial Balance Dump'!C139,"")</f>
        <v/>
      </c>
      <c r="D150" s="60"/>
      <c r="G150" s="69" t="str">
        <f t="shared" si="2"/>
        <v/>
      </c>
    </row>
    <row r="151" spans="1:7" x14ac:dyDescent="0.4">
      <c r="A151" s="54" t="str" cm="1">
        <f t="array" ref="A151">IF(SUMPRODUCT(--('Trial Balance Dump'!C140=All_Accounts_in_XERO))&gt;0,'Trial Balance Dump'!A140,"")</f>
        <v/>
      </c>
      <c r="B151" s="34" t="str" cm="1">
        <f t="array" ref="B151">IF(SUMPRODUCT(--('Trial Balance Dump'!C140=All_Accounts_in_XERO))&gt;0,'Trial Balance Dump'!B140,"")</f>
        <v/>
      </c>
      <c r="C151" s="34" t="str" cm="1">
        <f t="array" ref="C151">IF(SUMPRODUCT(--('Trial Balance Dump'!C140=All_Accounts_in_XERO))&gt;0,'Trial Balance Dump'!C140,"")</f>
        <v/>
      </c>
      <c r="D151" s="60"/>
      <c r="G151" s="69" t="str">
        <f t="shared" si="2"/>
        <v/>
      </c>
    </row>
    <row r="152" spans="1:7" x14ac:dyDescent="0.4">
      <c r="A152" s="54" t="str" cm="1">
        <f t="array" ref="A152">IF(SUMPRODUCT(--('Trial Balance Dump'!C141=All_Accounts_in_XERO))&gt;0,'Trial Balance Dump'!A141,"")</f>
        <v/>
      </c>
      <c r="B152" s="34" t="str" cm="1">
        <f t="array" ref="B152">IF(SUMPRODUCT(--('Trial Balance Dump'!C141=All_Accounts_in_XERO))&gt;0,'Trial Balance Dump'!B141,"")</f>
        <v/>
      </c>
      <c r="C152" s="34" t="str" cm="1">
        <f t="array" ref="C152">IF(SUMPRODUCT(--('Trial Balance Dump'!C141=All_Accounts_in_XERO))&gt;0,'Trial Balance Dump'!C141,"")</f>
        <v/>
      </c>
      <c r="D152" s="60"/>
      <c r="G152" s="69" t="str">
        <f t="shared" si="2"/>
        <v/>
      </c>
    </row>
    <row r="153" spans="1:7" x14ac:dyDescent="0.4">
      <c r="A153" s="54" t="str" cm="1">
        <f t="array" ref="A153">IF(SUMPRODUCT(--('Trial Balance Dump'!C142=All_Accounts_in_XERO))&gt;0,'Trial Balance Dump'!A142,"")</f>
        <v/>
      </c>
      <c r="B153" s="34" t="str" cm="1">
        <f t="array" ref="B153">IF(SUMPRODUCT(--('Trial Balance Dump'!C142=All_Accounts_in_XERO))&gt;0,'Trial Balance Dump'!B142,"")</f>
        <v/>
      </c>
      <c r="C153" s="34" t="str" cm="1">
        <f t="array" ref="C153">IF(SUMPRODUCT(--('Trial Balance Dump'!C142=All_Accounts_in_XERO))&gt;0,'Trial Balance Dump'!C142,"")</f>
        <v/>
      </c>
      <c r="D153" s="60"/>
      <c r="G153" s="69" t="str">
        <f t="shared" si="2"/>
        <v/>
      </c>
    </row>
    <row r="154" spans="1:7" x14ac:dyDescent="0.4">
      <c r="A154" s="54" t="str" cm="1">
        <f t="array" ref="A154">IF(SUMPRODUCT(--('Trial Balance Dump'!C143=All_Accounts_in_XERO))&gt;0,'Trial Balance Dump'!A143,"")</f>
        <v/>
      </c>
      <c r="B154" s="34" t="str" cm="1">
        <f t="array" ref="B154">IF(SUMPRODUCT(--('Trial Balance Dump'!C143=All_Accounts_in_XERO))&gt;0,'Trial Balance Dump'!B143,"")</f>
        <v/>
      </c>
      <c r="C154" s="34" t="str" cm="1">
        <f t="array" ref="C154">IF(SUMPRODUCT(--('Trial Balance Dump'!C143=All_Accounts_in_XERO))&gt;0,'Trial Balance Dump'!C143,"")</f>
        <v/>
      </c>
      <c r="D154" s="60"/>
      <c r="E154" s="63"/>
      <c r="F154" s="65"/>
      <c r="G154" s="69" t="str">
        <f t="shared" si="2"/>
        <v/>
      </c>
    </row>
    <row r="155" spans="1:7" x14ac:dyDescent="0.4">
      <c r="A155" s="54" t="str" cm="1">
        <f t="array" ref="A155">IF(SUMPRODUCT(--('Trial Balance Dump'!C144=All_Accounts_in_XERO))&gt;0,'Trial Balance Dump'!A144,"")</f>
        <v/>
      </c>
      <c r="B155" s="34" t="str" cm="1">
        <f t="array" ref="B155">IF(SUMPRODUCT(--('Trial Balance Dump'!C144=All_Accounts_in_XERO))&gt;0,'Trial Balance Dump'!B144,"")</f>
        <v/>
      </c>
      <c r="C155" s="34" t="str" cm="1">
        <f t="array" ref="C155">IF(SUMPRODUCT(--('Trial Balance Dump'!C144=All_Accounts_in_XERO))&gt;0,'Trial Balance Dump'!C144,"")</f>
        <v/>
      </c>
      <c r="D155" s="60"/>
      <c r="E155" s="63"/>
      <c r="G155" s="69" t="str">
        <f t="shared" si="2"/>
        <v/>
      </c>
    </row>
    <row r="156" spans="1:7" x14ac:dyDescent="0.4">
      <c r="A156" s="54" t="str" cm="1">
        <f t="array" ref="A156">IF(SUMPRODUCT(--('Trial Balance Dump'!C145=All_Accounts_in_XERO))&gt;0,'Trial Balance Dump'!A145,"")</f>
        <v/>
      </c>
      <c r="B156" s="34" t="str" cm="1">
        <f t="array" ref="B156">IF(SUMPRODUCT(--('Trial Balance Dump'!C145=All_Accounts_in_XERO))&gt;0,'Trial Balance Dump'!B145,"")</f>
        <v/>
      </c>
      <c r="C156" s="34" t="str" cm="1">
        <f t="array" ref="C156">IF(SUMPRODUCT(--('Trial Balance Dump'!C145=All_Accounts_in_XERO))&gt;0,'Trial Balance Dump'!C145,"")</f>
        <v/>
      </c>
      <c r="D156" s="60"/>
      <c r="E156" s="63"/>
      <c r="G156" s="69" t="str">
        <f t="shared" si="2"/>
        <v/>
      </c>
    </row>
    <row r="157" spans="1:7" x14ac:dyDescent="0.4">
      <c r="A157" s="54" t="str" cm="1">
        <f t="array" ref="A157">IF(SUMPRODUCT(--('Trial Balance Dump'!C146=All_Accounts_in_XERO))&gt;0,'Trial Balance Dump'!A146,"")</f>
        <v/>
      </c>
      <c r="B157" s="34" t="str" cm="1">
        <f t="array" ref="B157">IF(SUMPRODUCT(--('Trial Balance Dump'!C146=All_Accounts_in_XERO))&gt;0,'Trial Balance Dump'!B146,"")</f>
        <v/>
      </c>
      <c r="C157" s="34" t="str" cm="1">
        <f t="array" ref="C157">IF(SUMPRODUCT(--('Trial Balance Dump'!C146=All_Accounts_in_XERO))&gt;0,'Trial Balance Dump'!C146,"")</f>
        <v/>
      </c>
      <c r="D157" s="60"/>
      <c r="E157" s="63"/>
      <c r="G157" s="69" t="str">
        <f t="shared" si="2"/>
        <v/>
      </c>
    </row>
    <row r="158" spans="1:7" x14ac:dyDescent="0.4">
      <c r="A158" s="54" t="str" cm="1">
        <f t="array" ref="A158">IF(SUMPRODUCT(--('Trial Balance Dump'!C147=All_Accounts_in_XERO))&gt;0,'Trial Balance Dump'!A147,"")</f>
        <v/>
      </c>
      <c r="B158" s="34" t="str" cm="1">
        <f t="array" ref="B158">IF(SUMPRODUCT(--('Trial Balance Dump'!C147=All_Accounts_in_XERO))&gt;0,'Trial Balance Dump'!B147,"")</f>
        <v/>
      </c>
      <c r="C158" s="34" t="str" cm="1">
        <f t="array" ref="C158">IF(SUMPRODUCT(--('Trial Balance Dump'!C147=All_Accounts_in_XERO))&gt;0,'Trial Balance Dump'!C147,"")</f>
        <v/>
      </c>
      <c r="D158" s="60"/>
      <c r="E158" s="63"/>
      <c r="G158" s="69" t="str">
        <f t="shared" si="2"/>
        <v/>
      </c>
    </row>
    <row r="159" spans="1:7" x14ac:dyDescent="0.4">
      <c r="A159" s="54" t="str" cm="1">
        <f t="array" ref="A159">IF(SUMPRODUCT(--('Trial Balance Dump'!C148=All_Accounts_in_XERO))&gt;0,'Trial Balance Dump'!A148,"")</f>
        <v/>
      </c>
      <c r="B159" s="34" t="str" cm="1">
        <f t="array" ref="B159">IF(SUMPRODUCT(--('Trial Balance Dump'!C148=All_Accounts_in_XERO))&gt;0,'Trial Balance Dump'!B148,"")</f>
        <v/>
      </c>
      <c r="C159" s="34" t="str" cm="1">
        <f t="array" ref="C159">IF(SUMPRODUCT(--('Trial Balance Dump'!C148=All_Accounts_in_XERO))&gt;0,'Trial Balance Dump'!C148,"")</f>
        <v/>
      </c>
      <c r="D159" s="60"/>
      <c r="E159" s="63"/>
      <c r="G159" s="69" t="str">
        <f t="shared" si="2"/>
        <v/>
      </c>
    </row>
    <row r="160" spans="1:7" x14ac:dyDescent="0.4">
      <c r="A160" s="54" t="str" cm="1">
        <f t="array" ref="A160">IF(SUMPRODUCT(--('Trial Balance Dump'!C149=All_Accounts_in_XERO))&gt;0,'Trial Balance Dump'!A149,"")</f>
        <v/>
      </c>
      <c r="B160" s="34" t="str" cm="1">
        <f t="array" ref="B160">IF(SUMPRODUCT(--('Trial Balance Dump'!C149=All_Accounts_in_XERO))&gt;0,'Trial Balance Dump'!B149,"")</f>
        <v/>
      </c>
      <c r="C160" s="34" t="str" cm="1">
        <f t="array" ref="C160">IF(SUMPRODUCT(--('Trial Balance Dump'!C149=All_Accounts_in_XERO))&gt;0,'Trial Balance Dump'!C149,"")</f>
        <v/>
      </c>
      <c r="D160" s="60"/>
      <c r="E160" s="63"/>
      <c r="G160" s="69" t="str">
        <f t="shared" si="2"/>
        <v/>
      </c>
    </row>
    <row r="161" spans="1:7" x14ac:dyDescent="0.4">
      <c r="A161" s="54" t="str" cm="1">
        <f t="array" ref="A161">IF(SUMPRODUCT(--('Trial Balance Dump'!C150=All_Accounts_in_XERO))&gt;0,'Trial Balance Dump'!A150,"")</f>
        <v/>
      </c>
      <c r="B161" s="34" t="str" cm="1">
        <f t="array" ref="B161">IF(SUMPRODUCT(--('Trial Balance Dump'!C150=All_Accounts_in_XERO))&gt;0,'Trial Balance Dump'!B150,"")</f>
        <v/>
      </c>
      <c r="C161" s="34" t="str" cm="1">
        <f t="array" ref="C161">IF(SUMPRODUCT(--('Trial Balance Dump'!C150=All_Accounts_in_XERO))&gt;0,'Trial Balance Dump'!C150,"")</f>
        <v/>
      </c>
      <c r="D161" s="60"/>
      <c r="E161" s="63"/>
      <c r="G161" s="69" t="str">
        <f t="shared" si="2"/>
        <v/>
      </c>
    </row>
    <row r="162" spans="1:7" x14ac:dyDescent="0.4">
      <c r="A162" s="54" t="str" cm="1">
        <f t="array" ref="A162">IF(SUMPRODUCT(--('Trial Balance Dump'!C151=All_Accounts_in_XERO))&gt;0,'Trial Balance Dump'!A151,"")</f>
        <v/>
      </c>
      <c r="B162" s="34" t="str" cm="1">
        <f t="array" ref="B162">IF(SUMPRODUCT(--('Trial Balance Dump'!C151=All_Accounts_in_XERO))&gt;0,'Trial Balance Dump'!B151,"")</f>
        <v/>
      </c>
      <c r="C162" s="34" t="str" cm="1">
        <f t="array" ref="C162">IF(SUMPRODUCT(--('Trial Balance Dump'!C151=All_Accounts_in_XERO))&gt;0,'Trial Balance Dump'!C151,"")</f>
        <v/>
      </c>
      <c r="D162" s="60"/>
      <c r="E162" s="63"/>
      <c r="G162" s="69" t="str">
        <f t="shared" si="2"/>
        <v/>
      </c>
    </row>
    <row r="163" spans="1:7" x14ac:dyDescent="0.4">
      <c r="A163" s="54" t="str" cm="1">
        <f t="array" ref="A163">IF(SUMPRODUCT(--('Trial Balance Dump'!C152=All_Accounts_in_XERO))&gt;0,'Trial Balance Dump'!A152,"")</f>
        <v/>
      </c>
      <c r="B163" s="34" t="str" cm="1">
        <f t="array" ref="B163">IF(SUMPRODUCT(--('Trial Balance Dump'!C152=All_Accounts_in_XERO))&gt;0,'Trial Balance Dump'!B152,"")</f>
        <v/>
      </c>
      <c r="C163" s="34" t="str" cm="1">
        <f t="array" ref="C163">IF(SUMPRODUCT(--('Trial Balance Dump'!C152=All_Accounts_in_XERO))&gt;0,'Trial Balance Dump'!C152,"")</f>
        <v/>
      </c>
      <c r="D163" s="60"/>
      <c r="E163" s="63"/>
      <c r="G163" s="69" t="str">
        <f t="shared" si="2"/>
        <v/>
      </c>
    </row>
    <row r="164" spans="1:7" x14ac:dyDescent="0.4">
      <c r="A164" s="54" t="str" cm="1">
        <f t="array" ref="A164">IF(SUMPRODUCT(--('Trial Balance Dump'!C153=All_Accounts_in_XERO))&gt;0,'Trial Balance Dump'!A153,"")</f>
        <v/>
      </c>
      <c r="B164" s="34" t="str" cm="1">
        <f t="array" ref="B164">IF(SUMPRODUCT(--('Trial Balance Dump'!C153=All_Accounts_in_XERO))&gt;0,'Trial Balance Dump'!B153,"")</f>
        <v/>
      </c>
      <c r="C164" s="34" t="str" cm="1">
        <f t="array" ref="C164">IF(SUMPRODUCT(--('Trial Balance Dump'!C153=All_Accounts_in_XERO))&gt;0,'Trial Balance Dump'!C153,"")</f>
        <v/>
      </c>
      <c r="D164" s="60"/>
      <c r="E164" s="63"/>
      <c r="G164" s="69" t="str">
        <f t="shared" si="2"/>
        <v/>
      </c>
    </row>
    <row r="165" spans="1:7" x14ac:dyDescent="0.4">
      <c r="A165" s="54" t="str" cm="1">
        <f t="array" ref="A165">IF(SUMPRODUCT(--('Trial Balance Dump'!C154=All_Accounts_in_XERO))&gt;0,'Trial Balance Dump'!A154,"")</f>
        <v/>
      </c>
      <c r="B165" s="34" t="str" cm="1">
        <f t="array" ref="B165">IF(SUMPRODUCT(--('Trial Balance Dump'!C154=All_Accounts_in_XERO))&gt;0,'Trial Balance Dump'!B154,"")</f>
        <v/>
      </c>
      <c r="C165" s="34" t="str" cm="1">
        <f t="array" ref="C165">IF(SUMPRODUCT(--('Trial Balance Dump'!C154=All_Accounts_in_XERO))&gt;0,'Trial Balance Dump'!C154,"")</f>
        <v/>
      </c>
      <c r="D165" s="60"/>
      <c r="E165" s="63"/>
      <c r="G165" s="69" t="str">
        <f t="shared" si="2"/>
        <v/>
      </c>
    </row>
    <row r="166" spans="1:7" x14ac:dyDescent="0.4">
      <c r="A166" s="54" t="str" cm="1">
        <f t="array" ref="A166">IF(SUMPRODUCT(--('Trial Balance Dump'!C155=All_Accounts_in_XERO))&gt;0,'Trial Balance Dump'!A155,"")</f>
        <v/>
      </c>
      <c r="B166" s="34" t="str" cm="1">
        <f t="array" ref="B166">IF(SUMPRODUCT(--('Trial Balance Dump'!C155=All_Accounts_in_XERO))&gt;0,'Trial Balance Dump'!B155,"")</f>
        <v/>
      </c>
      <c r="C166" s="34" t="str" cm="1">
        <f t="array" ref="C166">IF(SUMPRODUCT(--('Trial Balance Dump'!C155=All_Accounts_in_XERO))&gt;0,'Trial Balance Dump'!C155,"")</f>
        <v/>
      </c>
      <c r="D166" s="60"/>
      <c r="E166" s="63"/>
      <c r="G166" s="69" t="str">
        <f t="shared" si="2"/>
        <v/>
      </c>
    </row>
    <row r="167" spans="1:7" x14ac:dyDescent="0.4">
      <c r="A167" s="54" t="str" cm="1">
        <f t="array" ref="A167">IF(SUMPRODUCT(--('Trial Balance Dump'!C156=All_Accounts_in_XERO))&gt;0,'Trial Balance Dump'!A156,"")</f>
        <v/>
      </c>
      <c r="B167" s="34" t="str" cm="1">
        <f t="array" ref="B167">IF(SUMPRODUCT(--('Trial Balance Dump'!C156=All_Accounts_in_XERO))&gt;0,'Trial Balance Dump'!B156,"")</f>
        <v/>
      </c>
      <c r="C167" s="34" t="str" cm="1">
        <f t="array" ref="C167">IF(SUMPRODUCT(--('Trial Balance Dump'!C156=All_Accounts_in_XERO))&gt;0,'Trial Balance Dump'!C156,"")</f>
        <v/>
      </c>
      <c r="D167" s="60"/>
      <c r="E167" s="63"/>
      <c r="G167" s="69" t="str">
        <f t="shared" si="2"/>
        <v/>
      </c>
    </row>
    <row r="168" spans="1:7" x14ac:dyDescent="0.4">
      <c r="A168" s="54" t="str" cm="1">
        <f t="array" ref="A168">IF(SUMPRODUCT(--('Trial Balance Dump'!C157=All_Accounts_in_XERO))&gt;0,'Trial Balance Dump'!A157,"")</f>
        <v/>
      </c>
      <c r="B168" s="34" t="str" cm="1">
        <f t="array" ref="B168">IF(SUMPRODUCT(--('Trial Balance Dump'!C157=All_Accounts_in_XERO))&gt;0,'Trial Balance Dump'!B157,"")</f>
        <v/>
      </c>
      <c r="C168" s="34" t="str" cm="1">
        <f t="array" ref="C168">IF(SUMPRODUCT(--('Trial Balance Dump'!C157=All_Accounts_in_XERO))&gt;0,'Trial Balance Dump'!C157,"")</f>
        <v/>
      </c>
      <c r="D168" s="60"/>
      <c r="E168" s="63"/>
      <c r="G168" s="69" t="str">
        <f t="shared" si="2"/>
        <v/>
      </c>
    </row>
    <row r="169" spans="1:7" x14ac:dyDescent="0.4">
      <c r="A169" s="54" t="str" cm="1">
        <f t="array" ref="A169">IF(SUMPRODUCT(--('Trial Balance Dump'!C158=All_Accounts_in_XERO))&gt;0,'Trial Balance Dump'!A158,"")</f>
        <v/>
      </c>
      <c r="B169" s="34" t="str" cm="1">
        <f t="array" ref="B169">IF(SUMPRODUCT(--('Trial Balance Dump'!C158=All_Accounts_in_XERO))&gt;0,'Trial Balance Dump'!B158,"")</f>
        <v/>
      </c>
      <c r="C169" s="34" t="str" cm="1">
        <f t="array" ref="C169">IF(SUMPRODUCT(--('Trial Balance Dump'!C158=All_Accounts_in_XERO))&gt;0,'Trial Balance Dump'!C158,"")</f>
        <v/>
      </c>
      <c r="D169" s="60"/>
      <c r="E169" s="63"/>
      <c r="G169" s="69" t="str">
        <f t="shared" si="2"/>
        <v/>
      </c>
    </row>
    <row r="170" spans="1:7" x14ac:dyDescent="0.4">
      <c r="A170" s="54" t="str" cm="1">
        <f t="array" ref="A170">IF(SUMPRODUCT(--('Trial Balance Dump'!C159=All_Accounts_in_XERO))&gt;0,'Trial Balance Dump'!A159,"")</f>
        <v/>
      </c>
      <c r="B170" s="34" t="str" cm="1">
        <f t="array" ref="B170">IF(SUMPRODUCT(--('Trial Balance Dump'!C159=All_Accounts_in_XERO))&gt;0,'Trial Balance Dump'!B159,"")</f>
        <v/>
      </c>
      <c r="C170" s="34" t="str" cm="1">
        <f t="array" ref="C170">IF(SUMPRODUCT(--('Trial Balance Dump'!C159=All_Accounts_in_XERO))&gt;0,'Trial Balance Dump'!C159,"")</f>
        <v/>
      </c>
      <c r="D170" s="60"/>
      <c r="E170" s="63"/>
      <c r="G170" s="69" t="str">
        <f t="shared" si="2"/>
        <v/>
      </c>
    </row>
    <row r="171" spans="1:7" x14ac:dyDescent="0.4">
      <c r="A171" s="54" t="str" cm="1">
        <f t="array" ref="A171">IF(SUMPRODUCT(--('Trial Balance Dump'!C160=All_Accounts_in_XERO))&gt;0,'Trial Balance Dump'!A160,"")</f>
        <v/>
      </c>
      <c r="B171" s="34" t="str" cm="1">
        <f t="array" ref="B171">IF(SUMPRODUCT(--('Trial Balance Dump'!C160=All_Accounts_in_XERO))&gt;0,'Trial Balance Dump'!B160,"")</f>
        <v/>
      </c>
      <c r="C171" s="34" t="str" cm="1">
        <f t="array" ref="C171">IF(SUMPRODUCT(--('Trial Balance Dump'!C160=All_Accounts_in_XERO))&gt;0,'Trial Balance Dump'!C160,"")</f>
        <v/>
      </c>
      <c r="D171" s="60"/>
      <c r="E171" s="63"/>
      <c r="G171" s="69" t="str">
        <f t="shared" si="2"/>
        <v/>
      </c>
    </row>
    <row r="172" spans="1:7" x14ac:dyDescent="0.4">
      <c r="A172" s="54" t="str" cm="1">
        <f t="array" ref="A172">IF(SUMPRODUCT(--('Trial Balance Dump'!C161=All_Accounts_in_XERO))&gt;0,'Trial Balance Dump'!A161,"")</f>
        <v/>
      </c>
      <c r="B172" s="34" t="str" cm="1">
        <f t="array" ref="B172">IF(SUMPRODUCT(--('Trial Balance Dump'!C161=All_Accounts_in_XERO))&gt;0,'Trial Balance Dump'!B161,"")</f>
        <v/>
      </c>
      <c r="C172" s="34" t="str" cm="1">
        <f t="array" ref="C172">IF(SUMPRODUCT(--('Trial Balance Dump'!C161=All_Accounts_in_XERO))&gt;0,'Trial Balance Dump'!C161,"")</f>
        <v/>
      </c>
      <c r="D172" s="60"/>
      <c r="E172" s="63"/>
      <c r="G172" s="69" t="str">
        <f t="shared" si="2"/>
        <v/>
      </c>
    </row>
    <row r="173" spans="1:7" x14ac:dyDescent="0.4">
      <c r="A173" s="54" t="str" cm="1">
        <f t="array" ref="A173">IF(SUMPRODUCT(--('Trial Balance Dump'!C162=All_Accounts_in_XERO))&gt;0,'Trial Balance Dump'!A162,"")</f>
        <v/>
      </c>
      <c r="B173" s="34" t="str" cm="1">
        <f t="array" ref="B173">IF(SUMPRODUCT(--('Trial Balance Dump'!C162=All_Accounts_in_XERO))&gt;0,'Trial Balance Dump'!B162,"")</f>
        <v/>
      </c>
      <c r="C173" s="34" t="str" cm="1">
        <f t="array" ref="C173">IF(SUMPRODUCT(--('Trial Balance Dump'!C162=All_Accounts_in_XERO))&gt;0,'Trial Balance Dump'!C162,"")</f>
        <v/>
      </c>
      <c r="D173" s="60"/>
      <c r="E173" s="63"/>
      <c r="G173" s="69" t="str">
        <f t="shared" si="2"/>
        <v/>
      </c>
    </row>
    <row r="174" spans="1:7" x14ac:dyDescent="0.4">
      <c r="A174" s="54" t="str" cm="1">
        <f t="array" ref="A174">IF(SUMPRODUCT(--('Trial Balance Dump'!C163=All_Accounts_in_XERO))&gt;0,'Trial Balance Dump'!A163,"")</f>
        <v/>
      </c>
      <c r="B174" s="34" t="str" cm="1">
        <f t="array" ref="B174">IF(SUMPRODUCT(--('Trial Balance Dump'!C163=All_Accounts_in_XERO))&gt;0,'Trial Balance Dump'!B163,"")</f>
        <v/>
      </c>
      <c r="C174" s="34" t="str" cm="1">
        <f t="array" ref="C174">IF(SUMPRODUCT(--('Trial Balance Dump'!C163=All_Accounts_in_XERO))&gt;0,'Trial Balance Dump'!C163,"")</f>
        <v/>
      </c>
      <c r="D174" s="60"/>
      <c r="E174" s="63"/>
      <c r="G174" s="69" t="str">
        <f t="shared" si="2"/>
        <v/>
      </c>
    </row>
    <row r="175" spans="1:7" x14ac:dyDescent="0.4">
      <c r="A175" s="54" t="str" cm="1">
        <f t="array" ref="A175">IF(SUMPRODUCT(--('Trial Balance Dump'!C164=All_Accounts_in_XERO))&gt;0,'Trial Balance Dump'!A164,"")</f>
        <v/>
      </c>
      <c r="B175" s="34" t="str" cm="1">
        <f t="array" ref="B175">IF(SUMPRODUCT(--('Trial Balance Dump'!C164=All_Accounts_in_XERO))&gt;0,'Trial Balance Dump'!B164,"")</f>
        <v/>
      </c>
      <c r="C175" s="34" t="str" cm="1">
        <f t="array" ref="C175">IF(SUMPRODUCT(--('Trial Balance Dump'!C164=All_Accounts_in_XERO))&gt;0,'Trial Balance Dump'!C164,"")</f>
        <v/>
      </c>
      <c r="D175" s="60"/>
      <c r="E175" s="63"/>
      <c r="G175" s="69" t="str">
        <f t="shared" si="2"/>
        <v/>
      </c>
    </row>
    <row r="176" spans="1:7" x14ac:dyDescent="0.4">
      <c r="A176" s="54" t="str" cm="1">
        <f t="array" ref="A176">IF(SUMPRODUCT(--('Trial Balance Dump'!C165=All_Accounts_in_XERO))&gt;0,'Trial Balance Dump'!A165,"")</f>
        <v/>
      </c>
      <c r="B176" s="34" t="str" cm="1">
        <f t="array" ref="B176">IF(SUMPRODUCT(--('Trial Balance Dump'!C165=All_Accounts_in_XERO))&gt;0,'Trial Balance Dump'!B165,"")</f>
        <v/>
      </c>
      <c r="C176" s="34" t="str" cm="1">
        <f t="array" ref="C176">IF(SUMPRODUCT(--('Trial Balance Dump'!C165=All_Accounts_in_XERO))&gt;0,'Trial Balance Dump'!C165,"")</f>
        <v/>
      </c>
      <c r="D176" s="60"/>
      <c r="E176" s="63"/>
      <c r="G176" s="69" t="str">
        <f t="shared" si="2"/>
        <v/>
      </c>
    </row>
    <row r="177" spans="1:7" x14ac:dyDescent="0.4">
      <c r="A177" s="54" t="str" cm="1">
        <f t="array" ref="A177">IF(SUMPRODUCT(--('Trial Balance Dump'!C166=All_Accounts_in_XERO))&gt;0,'Trial Balance Dump'!A166,"")</f>
        <v/>
      </c>
      <c r="B177" s="34" t="str" cm="1">
        <f t="array" ref="B177">IF(SUMPRODUCT(--('Trial Balance Dump'!C166=All_Accounts_in_XERO))&gt;0,'Trial Balance Dump'!B166,"")</f>
        <v/>
      </c>
      <c r="C177" s="34" t="str" cm="1">
        <f t="array" ref="C177">IF(SUMPRODUCT(--('Trial Balance Dump'!C166=All_Accounts_in_XERO))&gt;0,'Trial Balance Dump'!C166,"")</f>
        <v/>
      </c>
      <c r="D177" s="60"/>
      <c r="E177" s="63"/>
      <c r="G177" s="69" t="str">
        <f t="shared" si="2"/>
        <v/>
      </c>
    </row>
    <row r="178" spans="1:7" x14ac:dyDescent="0.4">
      <c r="A178" s="54" t="str" cm="1">
        <f t="array" ref="A178">IF(SUMPRODUCT(--('Trial Balance Dump'!C167=All_Accounts_in_XERO))&gt;0,'Trial Balance Dump'!A167,"")</f>
        <v/>
      </c>
      <c r="B178" s="34" t="str" cm="1">
        <f t="array" ref="B178">IF(SUMPRODUCT(--('Trial Balance Dump'!C167=All_Accounts_in_XERO))&gt;0,'Trial Balance Dump'!B167,"")</f>
        <v/>
      </c>
      <c r="C178" s="34" t="str" cm="1">
        <f t="array" ref="C178">IF(SUMPRODUCT(--('Trial Balance Dump'!C167=All_Accounts_in_XERO))&gt;0,'Trial Balance Dump'!C167,"")</f>
        <v/>
      </c>
      <c r="D178" s="60"/>
      <c r="E178" s="63"/>
      <c r="G178" s="69" t="str">
        <f t="shared" si="2"/>
        <v/>
      </c>
    </row>
    <row r="179" spans="1:7" x14ac:dyDescent="0.4">
      <c r="A179" s="54" t="str" cm="1">
        <f t="array" ref="A179">IF(SUMPRODUCT(--('Trial Balance Dump'!C168=All_Accounts_in_XERO))&gt;0,'Trial Balance Dump'!A168,"")</f>
        <v/>
      </c>
      <c r="B179" s="34" t="str" cm="1">
        <f t="array" ref="B179">IF(SUMPRODUCT(--('Trial Balance Dump'!C168=All_Accounts_in_XERO))&gt;0,'Trial Balance Dump'!B168,"")</f>
        <v/>
      </c>
      <c r="C179" s="34" t="str" cm="1">
        <f t="array" ref="C179">IF(SUMPRODUCT(--('Trial Balance Dump'!C168=All_Accounts_in_XERO))&gt;0,'Trial Balance Dump'!C168,"")</f>
        <v/>
      </c>
      <c r="D179" s="60"/>
      <c r="E179" s="63"/>
      <c r="G179" s="69" t="str">
        <f t="shared" si="2"/>
        <v/>
      </c>
    </row>
    <row r="180" spans="1:7" x14ac:dyDescent="0.4">
      <c r="A180" s="54" t="str" cm="1">
        <f t="array" ref="A180">IF(SUMPRODUCT(--('Trial Balance Dump'!C169=All_Accounts_in_XERO))&gt;0,'Trial Balance Dump'!A169,"")</f>
        <v/>
      </c>
      <c r="B180" s="34" t="str" cm="1">
        <f t="array" ref="B180">IF(SUMPRODUCT(--('Trial Balance Dump'!C169=All_Accounts_in_XERO))&gt;0,'Trial Balance Dump'!B169,"")</f>
        <v/>
      </c>
      <c r="C180" s="34" t="str" cm="1">
        <f t="array" ref="C180">IF(SUMPRODUCT(--('Trial Balance Dump'!C169=All_Accounts_in_XERO))&gt;0,'Trial Balance Dump'!C169,"")</f>
        <v/>
      </c>
      <c r="D180" s="60"/>
      <c r="E180" s="63"/>
      <c r="G180" s="69" t="str">
        <f t="shared" si="2"/>
        <v/>
      </c>
    </row>
    <row r="181" spans="1:7" x14ac:dyDescent="0.4">
      <c r="A181" s="54" t="str" cm="1">
        <f t="array" ref="A181">IF(SUMPRODUCT(--('Trial Balance Dump'!C170=All_Accounts_in_XERO))&gt;0,'Trial Balance Dump'!A170,"")</f>
        <v/>
      </c>
      <c r="B181" s="34" t="str" cm="1">
        <f t="array" ref="B181">IF(SUMPRODUCT(--('Trial Balance Dump'!C170=All_Accounts_in_XERO))&gt;0,'Trial Balance Dump'!B170,"")</f>
        <v/>
      </c>
      <c r="C181" s="34" t="str" cm="1">
        <f t="array" ref="C181">IF(SUMPRODUCT(--('Trial Balance Dump'!C170=All_Accounts_in_XERO))&gt;0,'Trial Balance Dump'!C170,"")</f>
        <v/>
      </c>
      <c r="D181" s="60"/>
      <c r="E181" s="63"/>
      <c r="G181" s="69" t="str">
        <f t="shared" si="2"/>
        <v/>
      </c>
    </row>
    <row r="182" spans="1:7" x14ac:dyDescent="0.4">
      <c r="A182" s="54" t="str" cm="1">
        <f t="array" ref="A182">IF(SUMPRODUCT(--('Trial Balance Dump'!C171=All_Accounts_in_XERO))&gt;0,'Trial Balance Dump'!A171,"")</f>
        <v/>
      </c>
      <c r="B182" s="34" t="str" cm="1">
        <f t="array" ref="B182">IF(SUMPRODUCT(--('Trial Balance Dump'!C171=All_Accounts_in_XERO))&gt;0,'Trial Balance Dump'!B171,"")</f>
        <v/>
      </c>
      <c r="C182" s="34" t="str" cm="1">
        <f t="array" ref="C182">IF(SUMPRODUCT(--('Trial Balance Dump'!C171=All_Accounts_in_XERO))&gt;0,'Trial Balance Dump'!C171,"")</f>
        <v/>
      </c>
      <c r="D182" s="60"/>
      <c r="E182" s="63"/>
      <c r="G182" s="69" t="str">
        <f t="shared" si="2"/>
        <v/>
      </c>
    </row>
    <row r="183" spans="1:7" x14ac:dyDescent="0.4">
      <c r="A183" s="54" t="str" cm="1">
        <f t="array" ref="A183">IF(SUMPRODUCT(--('Trial Balance Dump'!C172=All_Accounts_in_XERO))&gt;0,'Trial Balance Dump'!A172,"")</f>
        <v/>
      </c>
      <c r="B183" s="34" t="str" cm="1">
        <f t="array" ref="B183">IF(SUMPRODUCT(--('Trial Balance Dump'!C172=All_Accounts_in_XERO))&gt;0,'Trial Balance Dump'!B172,"")</f>
        <v/>
      </c>
      <c r="C183" s="34" t="str" cm="1">
        <f t="array" ref="C183">IF(SUMPRODUCT(--('Trial Balance Dump'!C172=All_Accounts_in_XERO))&gt;0,'Trial Balance Dump'!C172,"")</f>
        <v/>
      </c>
      <c r="D183" s="60"/>
      <c r="E183" s="65"/>
      <c r="F183" s="65"/>
      <c r="G183" s="69" t="str">
        <f t="shared" si="2"/>
        <v/>
      </c>
    </row>
    <row r="184" spans="1:7" x14ac:dyDescent="0.4">
      <c r="A184" s="54" t="str" cm="1">
        <f t="array" ref="A184">IF(SUMPRODUCT(--('Trial Balance Dump'!C173=All_Accounts_in_XERO))&gt;0,'Trial Balance Dump'!A173,"")</f>
        <v/>
      </c>
      <c r="B184" s="34" t="str" cm="1">
        <f t="array" ref="B184">IF(SUMPRODUCT(--('Trial Balance Dump'!C173=All_Accounts_in_XERO))&gt;0,'Trial Balance Dump'!B173,"")</f>
        <v/>
      </c>
      <c r="C184" s="34" t="str" cm="1">
        <f t="array" ref="C184">IF(SUMPRODUCT(--('Trial Balance Dump'!C173=All_Accounts_in_XERO))&gt;0,'Trial Balance Dump'!C173,"")</f>
        <v/>
      </c>
      <c r="D184" s="60"/>
      <c r="E184" s="63"/>
      <c r="G184" s="69" t="str">
        <f t="shared" si="2"/>
        <v/>
      </c>
    </row>
    <row r="185" spans="1:7" x14ac:dyDescent="0.4">
      <c r="A185" s="54" t="str" cm="1">
        <f t="array" ref="A185">IF(SUMPRODUCT(--('Trial Balance Dump'!C174=All_Accounts_in_XERO))&gt;0,'Trial Balance Dump'!A174,"")</f>
        <v/>
      </c>
      <c r="B185" s="34" t="str" cm="1">
        <f t="array" ref="B185">IF(SUMPRODUCT(--('Trial Balance Dump'!C174=All_Accounts_in_XERO))&gt;0,'Trial Balance Dump'!B174,"")</f>
        <v/>
      </c>
      <c r="C185" s="34" t="str" cm="1">
        <f t="array" ref="C185">IF(SUMPRODUCT(--('Trial Balance Dump'!C174=All_Accounts_in_XERO))&gt;0,'Trial Balance Dump'!C174,"")</f>
        <v/>
      </c>
      <c r="D185" s="60"/>
      <c r="E185" s="63"/>
      <c r="G185" s="69" t="str">
        <f t="shared" si="2"/>
        <v/>
      </c>
    </row>
    <row r="186" spans="1:7" x14ac:dyDescent="0.4">
      <c r="A186" s="54" t="str" cm="1">
        <f t="array" ref="A186">IF(SUMPRODUCT(--('Trial Balance Dump'!C175=All_Accounts_in_XERO))&gt;0,'Trial Balance Dump'!A175,"")</f>
        <v/>
      </c>
      <c r="B186" s="34" t="str" cm="1">
        <f t="array" ref="B186">IF(SUMPRODUCT(--('Trial Balance Dump'!C175=All_Accounts_in_XERO))&gt;0,'Trial Balance Dump'!B175,"")</f>
        <v/>
      </c>
      <c r="C186" s="34" t="str" cm="1">
        <f t="array" ref="C186">IF(SUMPRODUCT(--('Trial Balance Dump'!C175=All_Accounts_in_XERO))&gt;0,'Trial Balance Dump'!C175,"")</f>
        <v/>
      </c>
      <c r="D186" s="60"/>
      <c r="E186" s="63"/>
      <c r="G186" s="69" t="str">
        <f t="shared" si="2"/>
        <v/>
      </c>
    </row>
    <row r="187" spans="1:7" x14ac:dyDescent="0.4">
      <c r="A187" s="54" t="str" cm="1">
        <f t="array" ref="A187">IF(SUMPRODUCT(--('Trial Balance Dump'!C176=All_Accounts_in_XERO))&gt;0,'Trial Balance Dump'!A176,"")</f>
        <v/>
      </c>
      <c r="B187" s="34" t="str" cm="1">
        <f t="array" ref="B187">IF(SUMPRODUCT(--('Trial Balance Dump'!C176=All_Accounts_in_XERO))&gt;0,'Trial Balance Dump'!B176,"")</f>
        <v/>
      </c>
      <c r="C187" s="34" t="str" cm="1">
        <f t="array" ref="C187">IF(SUMPRODUCT(--('Trial Balance Dump'!C176=All_Accounts_in_XERO))&gt;0,'Trial Balance Dump'!C176,"")</f>
        <v/>
      </c>
      <c r="D187" s="60"/>
      <c r="E187" s="63"/>
      <c r="G187" s="69" t="str">
        <f t="shared" si="2"/>
        <v/>
      </c>
    </row>
    <row r="188" spans="1:7" x14ac:dyDescent="0.4">
      <c r="A188" s="54" t="str" cm="1">
        <f t="array" ref="A188">IF(SUMPRODUCT(--('Trial Balance Dump'!C177=All_Accounts_in_XERO))&gt;0,'Trial Balance Dump'!A177,"")</f>
        <v/>
      </c>
      <c r="B188" s="34" t="str" cm="1">
        <f t="array" ref="B188">IF(SUMPRODUCT(--('Trial Balance Dump'!C177=All_Accounts_in_XERO))&gt;0,'Trial Balance Dump'!B177,"")</f>
        <v/>
      </c>
      <c r="C188" s="34" t="str" cm="1">
        <f t="array" ref="C188">IF(SUMPRODUCT(--('Trial Balance Dump'!C177=All_Accounts_in_XERO))&gt;0,'Trial Balance Dump'!C177,"")</f>
        <v/>
      </c>
      <c r="D188" s="60"/>
      <c r="E188" s="63"/>
      <c r="G188" s="69" t="str">
        <f t="shared" si="2"/>
        <v/>
      </c>
    </row>
    <row r="189" spans="1:7" x14ac:dyDescent="0.4">
      <c r="A189" s="54" t="str" cm="1">
        <f t="array" ref="A189">IF(SUMPRODUCT(--('Trial Balance Dump'!C178=All_Accounts_in_XERO))&gt;0,'Trial Balance Dump'!A178,"")</f>
        <v/>
      </c>
      <c r="B189" s="34" t="str" cm="1">
        <f t="array" ref="B189">IF(SUMPRODUCT(--('Trial Balance Dump'!C178=All_Accounts_in_XERO))&gt;0,'Trial Balance Dump'!B178,"")</f>
        <v/>
      </c>
      <c r="C189" s="34" t="str" cm="1">
        <f t="array" ref="C189">IF(SUMPRODUCT(--('Trial Balance Dump'!C178=All_Accounts_in_XERO))&gt;0,'Trial Balance Dump'!C178,"")</f>
        <v/>
      </c>
      <c r="D189" s="60"/>
      <c r="E189" s="63"/>
      <c r="G189" s="69" t="str">
        <f t="shared" si="2"/>
        <v/>
      </c>
    </row>
    <row r="190" spans="1:7" x14ac:dyDescent="0.4">
      <c r="A190" s="54" t="str" cm="1">
        <f t="array" ref="A190">IF(SUMPRODUCT(--('Trial Balance Dump'!C179=All_Accounts_in_XERO))&gt;0,'Trial Balance Dump'!A179,"")</f>
        <v/>
      </c>
      <c r="B190" s="34" t="str" cm="1">
        <f t="array" ref="B190">IF(SUMPRODUCT(--('Trial Balance Dump'!C179=All_Accounts_in_XERO))&gt;0,'Trial Balance Dump'!B179,"")</f>
        <v/>
      </c>
      <c r="C190" s="34" t="str" cm="1">
        <f t="array" ref="C190">IF(SUMPRODUCT(--('Trial Balance Dump'!C179=All_Accounts_in_XERO))&gt;0,'Trial Balance Dump'!C179,"")</f>
        <v/>
      </c>
      <c r="D190" s="60"/>
      <c r="E190" s="63"/>
      <c r="G190" s="69" t="str">
        <f t="shared" si="2"/>
        <v/>
      </c>
    </row>
    <row r="191" spans="1:7" x14ac:dyDescent="0.4">
      <c r="A191" s="54" t="str" cm="1">
        <f t="array" ref="A191">IF(SUMPRODUCT(--('Trial Balance Dump'!C180=All_Accounts_in_XERO))&gt;0,'Trial Balance Dump'!A180,"")</f>
        <v/>
      </c>
      <c r="B191" s="34" t="str" cm="1">
        <f t="array" ref="B191">IF(SUMPRODUCT(--('Trial Balance Dump'!C180=All_Accounts_in_XERO))&gt;0,'Trial Balance Dump'!B180,"")</f>
        <v/>
      </c>
      <c r="C191" s="34" t="str" cm="1">
        <f t="array" ref="C191">IF(SUMPRODUCT(--('Trial Balance Dump'!C180=All_Accounts_in_XERO))&gt;0,'Trial Balance Dump'!C180,"")</f>
        <v/>
      </c>
      <c r="D191" s="60"/>
      <c r="E191" s="63"/>
      <c r="G191" s="69" t="str">
        <f t="shared" si="2"/>
        <v/>
      </c>
    </row>
    <row r="192" spans="1:7" x14ac:dyDescent="0.4">
      <c r="A192" s="54" t="str" cm="1">
        <f t="array" ref="A192">IF(SUMPRODUCT(--('Trial Balance Dump'!C181=All_Accounts_in_XERO))&gt;0,'Trial Balance Dump'!A181,"")</f>
        <v/>
      </c>
      <c r="B192" s="34" t="str" cm="1">
        <f t="array" ref="B192">IF(SUMPRODUCT(--('Trial Balance Dump'!C181=All_Accounts_in_XERO))&gt;0,'Trial Balance Dump'!B181,"")</f>
        <v/>
      </c>
      <c r="C192" s="34" t="str" cm="1">
        <f t="array" ref="C192">IF(SUMPRODUCT(--('Trial Balance Dump'!C181=All_Accounts_in_XERO))&gt;0,'Trial Balance Dump'!C181,"")</f>
        <v/>
      </c>
      <c r="D192" s="60"/>
      <c r="E192" s="63"/>
      <c r="G192" s="69" t="str">
        <f t="shared" si="2"/>
        <v/>
      </c>
    </row>
    <row r="193" spans="1:7" x14ac:dyDescent="0.4">
      <c r="A193" s="54" t="str" cm="1">
        <f t="array" ref="A193">IF(SUMPRODUCT(--('Trial Balance Dump'!C182=All_Accounts_in_XERO))&gt;0,'Trial Balance Dump'!A182,"")</f>
        <v/>
      </c>
      <c r="B193" s="34" t="str" cm="1">
        <f t="array" ref="B193">IF(SUMPRODUCT(--('Trial Balance Dump'!C182=All_Accounts_in_XERO))&gt;0,'Trial Balance Dump'!B182,"")</f>
        <v/>
      </c>
      <c r="C193" s="34" t="str" cm="1">
        <f t="array" ref="C193">IF(SUMPRODUCT(--('Trial Balance Dump'!C182=All_Accounts_in_XERO))&gt;0,'Trial Balance Dump'!C182,"")</f>
        <v/>
      </c>
      <c r="D193" s="60"/>
      <c r="E193" s="63"/>
      <c r="G193" s="69" t="str">
        <f t="shared" si="2"/>
        <v/>
      </c>
    </row>
    <row r="194" spans="1:7" x14ac:dyDescent="0.4">
      <c r="A194" s="54" t="str" cm="1">
        <f t="array" ref="A194">IF(SUMPRODUCT(--('Trial Balance Dump'!C183=All_Accounts_in_XERO))&gt;0,'Trial Balance Dump'!A183,"")</f>
        <v/>
      </c>
      <c r="B194" s="34" t="str" cm="1">
        <f t="array" ref="B194">IF(SUMPRODUCT(--('Trial Balance Dump'!C183=All_Accounts_in_XERO))&gt;0,'Trial Balance Dump'!B183,"")</f>
        <v/>
      </c>
      <c r="C194" s="34" t="str" cm="1">
        <f t="array" ref="C194">IF(SUMPRODUCT(--('Trial Balance Dump'!C183=All_Accounts_in_XERO))&gt;0,'Trial Balance Dump'!C183,"")</f>
        <v/>
      </c>
      <c r="D194" s="60"/>
      <c r="E194" s="63"/>
      <c r="G194" s="69" t="str">
        <f t="shared" si="2"/>
        <v/>
      </c>
    </row>
    <row r="195" spans="1:7" x14ac:dyDescent="0.4">
      <c r="A195" s="54" t="str" cm="1">
        <f t="array" ref="A195">IF(SUMPRODUCT(--('Trial Balance Dump'!C184=All_Accounts_in_XERO))&gt;0,'Trial Balance Dump'!A184,"")</f>
        <v/>
      </c>
      <c r="B195" s="34" t="str" cm="1">
        <f t="array" ref="B195">IF(SUMPRODUCT(--('Trial Balance Dump'!C184=All_Accounts_in_XERO))&gt;0,'Trial Balance Dump'!B184,"")</f>
        <v/>
      </c>
      <c r="C195" s="34" t="str" cm="1">
        <f t="array" ref="C195">IF(SUMPRODUCT(--('Trial Balance Dump'!C184=All_Accounts_in_XERO))&gt;0,'Trial Balance Dump'!C184,"")</f>
        <v/>
      </c>
      <c r="D195" s="60"/>
      <c r="E195" s="63"/>
      <c r="G195" s="69" t="str">
        <f t="shared" si="2"/>
        <v/>
      </c>
    </row>
    <row r="196" spans="1:7" x14ac:dyDescent="0.4">
      <c r="A196" s="54" t="str" cm="1">
        <f t="array" ref="A196">IF(SUMPRODUCT(--('Trial Balance Dump'!C185=All_Accounts_in_XERO))&gt;0,'Trial Balance Dump'!A185,"")</f>
        <v/>
      </c>
      <c r="B196" s="34" t="str" cm="1">
        <f t="array" ref="B196">IF(SUMPRODUCT(--('Trial Balance Dump'!C185=All_Accounts_in_XERO))&gt;0,'Trial Balance Dump'!B185,"")</f>
        <v/>
      </c>
      <c r="C196" s="34" t="str" cm="1">
        <f t="array" ref="C196">IF(SUMPRODUCT(--('Trial Balance Dump'!C185=All_Accounts_in_XERO))&gt;0,'Trial Balance Dump'!C185,"")</f>
        <v/>
      </c>
      <c r="D196" s="60"/>
      <c r="E196" s="63"/>
      <c r="G196" s="69" t="str">
        <f t="shared" si="2"/>
        <v/>
      </c>
    </row>
    <row r="197" spans="1:7" x14ac:dyDescent="0.4">
      <c r="A197" s="54" t="str" cm="1">
        <f t="array" ref="A197">IF(SUMPRODUCT(--('Trial Balance Dump'!C186=All_Accounts_in_XERO))&gt;0,'Trial Balance Dump'!A186,"")</f>
        <v/>
      </c>
      <c r="B197" s="34" t="str" cm="1">
        <f t="array" ref="B197">IF(SUMPRODUCT(--('Trial Balance Dump'!C186=All_Accounts_in_XERO))&gt;0,'Trial Balance Dump'!B186,"")</f>
        <v/>
      </c>
      <c r="C197" s="34" t="str" cm="1">
        <f t="array" ref="C197">IF(SUMPRODUCT(--('Trial Balance Dump'!C186=All_Accounts_in_XERO))&gt;0,'Trial Balance Dump'!C186,"")</f>
        <v/>
      </c>
      <c r="D197" s="60"/>
      <c r="E197" s="63"/>
      <c r="G197" s="69" t="str">
        <f t="shared" si="2"/>
        <v/>
      </c>
    </row>
    <row r="198" spans="1:7" x14ac:dyDescent="0.4">
      <c r="A198" s="54" t="str" cm="1">
        <f t="array" ref="A198">IF(SUMPRODUCT(--('Trial Balance Dump'!C187=All_Accounts_in_XERO))&gt;0,'Trial Balance Dump'!A187,"")</f>
        <v/>
      </c>
      <c r="B198" s="34" t="str" cm="1">
        <f t="array" ref="B198">IF(SUMPRODUCT(--('Trial Balance Dump'!C187=All_Accounts_in_XERO))&gt;0,'Trial Balance Dump'!B187,"")</f>
        <v/>
      </c>
      <c r="C198" s="34" t="str" cm="1">
        <f t="array" ref="C198">IF(SUMPRODUCT(--('Trial Balance Dump'!C187=All_Accounts_in_XERO))&gt;0,'Trial Balance Dump'!C187,"")</f>
        <v/>
      </c>
      <c r="D198" s="60"/>
      <c r="E198" s="63"/>
      <c r="G198" s="69" t="str">
        <f t="shared" si="2"/>
        <v/>
      </c>
    </row>
    <row r="199" spans="1:7" x14ac:dyDescent="0.4">
      <c r="A199" s="54" t="str" cm="1">
        <f t="array" ref="A199">IF(SUMPRODUCT(--('Trial Balance Dump'!C188=All_Accounts_in_XERO))&gt;0,'Trial Balance Dump'!A188,"")</f>
        <v/>
      </c>
      <c r="B199" s="34" t="str" cm="1">
        <f t="array" ref="B199">IF(SUMPRODUCT(--('Trial Balance Dump'!C188=All_Accounts_in_XERO))&gt;0,'Trial Balance Dump'!B188,"")</f>
        <v/>
      </c>
      <c r="C199" s="34" t="str" cm="1">
        <f t="array" ref="C199">IF(SUMPRODUCT(--('Trial Balance Dump'!C188=All_Accounts_in_XERO))&gt;0,'Trial Balance Dump'!C188,"")</f>
        <v/>
      </c>
      <c r="D199" s="60"/>
      <c r="E199" s="63"/>
      <c r="G199" s="69" t="str">
        <f t="shared" si="2"/>
        <v/>
      </c>
    </row>
    <row r="200" spans="1:7" x14ac:dyDescent="0.4">
      <c r="A200" s="54" t="str" cm="1">
        <f t="array" ref="A200">IF(SUMPRODUCT(--('Trial Balance Dump'!C189=All_Accounts_in_XERO))&gt;0,'Trial Balance Dump'!A189,"")</f>
        <v/>
      </c>
      <c r="B200" s="34" t="str" cm="1">
        <f t="array" ref="B200">IF(SUMPRODUCT(--('Trial Balance Dump'!C189=All_Accounts_in_XERO))&gt;0,'Trial Balance Dump'!B189,"")</f>
        <v/>
      </c>
      <c r="C200" s="34" t="str" cm="1">
        <f t="array" ref="C200">IF(SUMPRODUCT(--('Trial Balance Dump'!C189=All_Accounts_in_XERO))&gt;0,'Trial Balance Dump'!C189,"")</f>
        <v/>
      </c>
      <c r="D200" s="60"/>
      <c r="E200" s="63"/>
      <c r="G200" s="69" t="str">
        <f t="shared" si="2"/>
        <v/>
      </c>
    </row>
    <row r="201" spans="1:7" x14ac:dyDescent="0.4">
      <c r="A201" s="54" t="str" cm="1">
        <f t="array" ref="A201">IF(SUMPRODUCT(--('Trial Balance Dump'!C190=All_Accounts_in_XERO))&gt;0,'Trial Balance Dump'!A190,"")</f>
        <v/>
      </c>
      <c r="B201" s="34" t="str" cm="1">
        <f t="array" ref="B201">IF(SUMPRODUCT(--('Trial Balance Dump'!C190=All_Accounts_in_XERO))&gt;0,'Trial Balance Dump'!B190,"")</f>
        <v/>
      </c>
      <c r="C201" s="34" t="str" cm="1">
        <f t="array" ref="C201">IF(SUMPRODUCT(--('Trial Balance Dump'!C190=All_Accounts_in_XERO))&gt;0,'Trial Balance Dump'!C190,"")</f>
        <v/>
      </c>
      <c r="D201" s="60"/>
      <c r="E201" s="63"/>
      <c r="G201" s="69" t="str">
        <f t="shared" si="2"/>
        <v/>
      </c>
    </row>
    <row r="202" spans="1:7" x14ac:dyDescent="0.4">
      <c r="A202" s="54" t="str" cm="1">
        <f t="array" ref="A202">IF(SUMPRODUCT(--('Trial Balance Dump'!C191=All_Accounts_in_XERO))&gt;0,'Trial Balance Dump'!A191,"")</f>
        <v/>
      </c>
      <c r="B202" s="34" t="str" cm="1">
        <f t="array" ref="B202">IF(SUMPRODUCT(--('Trial Balance Dump'!C191=All_Accounts_in_XERO))&gt;0,'Trial Balance Dump'!B191,"")</f>
        <v/>
      </c>
      <c r="C202" s="34" t="str" cm="1">
        <f t="array" ref="C202">IF(SUMPRODUCT(--('Trial Balance Dump'!C191=All_Accounts_in_XERO))&gt;0,'Trial Balance Dump'!C191,"")</f>
        <v/>
      </c>
      <c r="D202" s="60"/>
      <c r="E202" s="63"/>
      <c r="G202" s="69" t="str">
        <f t="shared" si="2"/>
        <v/>
      </c>
    </row>
    <row r="203" spans="1:7" x14ac:dyDescent="0.4">
      <c r="A203" s="54" t="str" cm="1">
        <f t="array" ref="A203">IF(SUMPRODUCT(--('Trial Balance Dump'!C192=All_Accounts_in_XERO))&gt;0,'Trial Balance Dump'!A192,"")</f>
        <v/>
      </c>
      <c r="B203" s="34" t="str" cm="1">
        <f t="array" ref="B203">IF(SUMPRODUCT(--('Trial Balance Dump'!C192=All_Accounts_in_XERO))&gt;0,'Trial Balance Dump'!B192,"")</f>
        <v/>
      </c>
      <c r="C203" s="34" t="str" cm="1">
        <f t="array" ref="C203">IF(SUMPRODUCT(--('Trial Balance Dump'!C192=All_Accounts_in_XERO))&gt;0,'Trial Balance Dump'!C192,"")</f>
        <v/>
      </c>
      <c r="D203" s="60"/>
      <c r="E203" s="63"/>
      <c r="G203" s="69" t="str">
        <f t="shared" si="2"/>
        <v/>
      </c>
    </row>
    <row r="204" spans="1:7" x14ac:dyDescent="0.4">
      <c r="A204" s="54" t="str" cm="1">
        <f t="array" ref="A204">IF(SUMPRODUCT(--('Trial Balance Dump'!C193=All_Accounts_in_XERO))&gt;0,'Trial Balance Dump'!A193,"")</f>
        <v/>
      </c>
      <c r="B204" s="34" t="str" cm="1">
        <f t="array" ref="B204">IF(SUMPRODUCT(--('Trial Balance Dump'!C193=All_Accounts_in_XERO))&gt;0,'Trial Balance Dump'!B193,"")</f>
        <v/>
      </c>
      <c r="C204" s="34" t="str" cm="1">
        <f t="array" ref="C204">IF(SUMPRODUCT(--('Trial Balance Dump'!C193=All_Accounts_in_XERO))&gt;0,'Trial Balance Dump'!C193,"")</f>
        <v/>
      </c>
      <c r="D204" s="60"/>
      <c r="E204" s="63"/>
      <c r="G204" s="69" t="str">
        <f t="shared" si="2"/>
        <v/>
      </c>
    </row>
    <row r="205" spans="1:7" x14ac:dyDescent="0.4">
      <c r="A205" s="54" t="str" cm="1">
        <f t="array" ref="A205">IF(SUMPRODUCT(--('Trial Balance Dump'!C194=All_Accounts_in_XERO))&gt;0,'Trial Balance Dump'!A194,"")</f>
        <v/>
      </c>
      <c r="B205" s="34" t="str" cm="1">
        <f t="array" ref="B205">IF(SUMPRODUCT(--('Trial Balance Dump'!C194=All_Accounts_in_XERO))&gt;0,'Trial Balance Dump'!B194,"")</f>
        <v/>
      </c>
      <c r="C205" s="34" t="str" cm="1">
        <f t="array" ref="C205">IF(SUMPRODUCT(--('Trial Balance Dump'!C194=All_Accounts_in_XERO))&gt;0,'Trial Balance Dump'!C194,"")</f>
        <v/>
      </c>
      <c r="D205" s="60"/>
      <c r="E205" s="63"/>
      <c r="G205" s="69" t="str">
        <f t="shared" si="2"/>
        <v/>
      </c>
    </row>
    <row r="206" spans="1:7" x14ac:dyDescent="0.4">
      <c r="A206" s="54" t="str" cm="1">
        <f t="array" ref="A206">IF(SUMPRODUCT(--('Trial Balance Dump'!C195=All_Accounts_in_XERO))&gt;0,'Trial Balance Dump'!A195,"")</f>
        <v/>
      </c>
      <c r="B206" s="34" t="str" cm="1">
        <f t="array" ref="B206">IF(SUMPRODUCT(--('Trial Balance Dump'!C195=All_Accounts_in_XERO))&gt;0,'Trial Balance Dump'!B195,"")</f>
        <v/>
      </c>
      <c r="C206" s="34" t="str" cm="1">
        <f t="array" ref="C206">IF(SUMPRODUCT(--('Trial Balance Dump'!C195=All_Accounts_in_XERO))&gt;0,'Trial Balance Dump'!C195,"")</f>
        <v/>
      </c>
      <c r="D206" s="60"/>
      <c r="E206" s="63"/>
      <c r="G206" s="69" t="str">
        <f t="shared" si="2"/>
        <v/>
      </c>
    </row>
    <row r="207" spans="1:7" x14ac:dyDescent="0.4">
      <c r="A207" s="54" t="str" cm="1">
        <f t="array" ref="A207">IF(SUMPRODUCT(--('Trial Balance Dump'!C196=All_Accounts_in_XERO))&gt;0,'Trial Balance Dump'!A196,"")</f>
        <v/>
      </c>
      <c r="B207" s="34" t="str" cm="1">
        <f t="array" ref="B207">IF(SUMPRODUCT(--('Trial Balance Dump'!C196=All_Accounts_in_XERO))&gt;0,'Trial Balance Dump'!B196,"")</f>
        <v/>
      </c>
      <c r="C207" s="34" t="str" cm="1">
        <f t="array" ref="C207">IF(SUMPRODUCT(--('Trial Balance Dump'!C196=All_Accounts_in_XERO))&gt;0,'Trial Balance Dump'!C196,"")</f>
        <v/>
      </c>
      <c r="D207" s="60"/>
      <c r="E207" s="63"/>
      <c r="G207" s="69" t="str">
        <f t="shared" si="2"/>
        <v/>
      </c>
    </row>
    <row r="208" spans="1:7" x14ac:dyDescent="0.4">
      <c r="A208" s="54" t="str" cm="1">
        <f t="array" ref="A208">IF(SUMPRODUCT(--('Trial Balance Dump'!C197=All_Accounts_in_XERO))&gt;0,'Trial Balance Dump'!A197,"")</f>
        <v/>
      </c>
      <c r="B208" s="34" t="str" cm="1">
        <f t="array" ref="B208">IF(SUMPRODUCT(--('Trial Balance Dump'!C197=All_Accounts_in_XERO))&gt;0,'Trial Balance Dump'!B197,"")</f>
        <v/>
      </c>
      <c r="C208" s="34" t="str" cm="1">
        <f t="array" ref="C208">IF(SUMPRODUCT(--('Trial Balance Dump'!C197=All_Accounts_in_XERO))&gt;0,'Trial Balance Dump'!C197,"")</f>
        <v/>
      </c>
      <c r="D208" s="60"/>
      <c r="E208" s="63"/>
      <c r="G208" s="69" t="str">
        <f t="shared" si="2"/>
        <v/>
      </c>
    </row>
    <row r="209" spans="1:7" x14ac:dyDescent="0.4">
      <c r="A209" s="54" t="str" cm="1">
        <f t="array" ref="A209">IF(SUMPRODUCT(--('Trial Balance Dump'!C198=All_Accounts_in_XERO))&gt;0,'Trial Balance Dump'!A198,"")</f>
        <v/>
      </c>
      <c r="B209" s="34" t="str" cm="1">
        <f t="array" ref="B209">IF(SUMPRODUCT(--('Trial Balance Dump'!C198=All_Accounts_in_XERO))&gt;0,'Trial Balance Dump'!B198,"")</f>
        <v/>
      </c>
      <c r="C209" s="34" t="str" cm="1">
        <f t="array" ref="C209">IF(SUMPRODUCT(--('Trial Balance Dump'!C198=All_Accounts_in_XERO))&gt;0,'Trial Balance Dump'!C198,"")</f>
        <v/>
      </c>
      <c r="D209" s="60"/>
      <c r="E209" s="65"/>
      <c r="F209" s="65"/>
      <c r="G209" s="69" t="str">
        <f t="shared" si="2"/>
        <v/>
      </c>
    </row>
    <row r="210" spans="1:7" x14ac:dyDescent="0.4">
      <c r="A210" s="54" t="str" cm="1">
        <f t="array" ref="A210">IF(SUMPRODUCT(--('Trial Balance Dump'!C199=All_Accounts_in_XERO))&gt;0,'Trial Balance Dump'!A199,"")</f>
        <v/>
      </c>
      <c r="B210" s="34" t="str" cm="1">
        <f t="array" ref="B210">IF(SUMPRODUCT(--('Trial Balance Dump'!C199=All_Accounts_in_XERO))&gt;0,'Trial Balance Dump'!B199,"")</f>
        <v/>
      </c>
      <c r="C210" s="34" t="str" cm="1">
        <f t="array" ref="C210">IF(SUMPRODUCT(--('Trial Balance Dump'!C199=All_Accounts_in_XERO))&gt;0,'Trial Balance Dump'!C199,"")</f>
        <v/>
      </c>
      <c r="D210" s="60"/>
      <c r="E210" s="63"/>
      <c r="G210" s="69" t="str">
        <f t="shared" ref="G210:G273" si="3">IF(ISNA(VLOOKUP(E210, I:K, 3, FALSE)), "", IF(VLOOKUP(E210, I:K, 3, FALSE) = "", "", IF(F210 = VLOOKUP(E210, I:K, 3, FALSE), "✓", "")))</f>
        <v/>
      </c>
    </row>
    <row r="211" spans="1:7" x14ac:dyDescent="0.4">
      <c r="A211" s="54" t="str" cm="1">
        <f t="array" ref="A211">IF(SUMPRODUCT(--('Trial Balance Dump'!C200=All_Accounts_in_XERO))&gt;0,'Trial Balance Dump'!A200,"")</f>
        <v/>
      </c>
      <c r="B211" s="34" t="str" cm="1">
        <f t="array" ref="B211">IF(SUMPRODUCT(--('Trial Balance Dump'!C200=All_Accounts_in_XERO))&gt;0,'Trial Balance Dump'!B200,"")</f>
        <v/>
      </c>
      <c r="C211" s="34" t="str" cm="1">
        <f t="array" ref="C211">IF(SUMPRODUCT(--('Trial Balance Dump'!C200=All_Accounts_in_XERO))&gt;0,'Trial Balance Dump'!C200,"")</f>
        <v/>
      </c>
      <c r="D211" s="60"/>
      <c r="E211" s="63"/>
      <c r="G211" s="69" t="str">
        <f t="shared" si="3"/>
        <v/>
      </c>
    </row>
    <row r="212" spans="1:7" x14ac:dyDescent="0.4">
      <c r="A212" s="54" t="str" cm="1">
        <f t="array" ref="A212">IF(SUMPRODUCT(--('Trial Balance Dump'!C201=All_Accounts_in_XERO))&gt;0,'Trial Balance Dump'!A201,"")</f>
        <v/>
      </c>
      <c r="B212" s="34" t="str" cm="1">
        <f t="array" ref="B212">IF(SUMPRODUCT(--('Trial Balance Dump'!C201=All_Accounts_in_XERO))&gt;0,'Trial Balance Dump'!B201,"")</f>
        <v/>
      </c>
      <c r="C212" s="34" t="str" cm="1">
        <f t="array" ref="C212">IF(SUMPRODUCT(--('Trial Balance Dump'!C201=All_Accounts_in_XERO))&gt;0,'Trial Balance Dump'!C201,"")</f>
        <v/>
      </c>
      <c r="D212" s="60"/>
      <c r="E212" s="63"/>
      <c r="G212" s="69" t="str">
        <f t="shared" si="3"/>
        <v/>
      </c>
    </row>
    <row r="213" spans="1:7" x14ac:dyDescent="0.4">
      <c r="A213" s="54" t="str" cm="1">
        <f t="array" ref="A213">IF(SUMPRODUCT(--('Trial Balance Dump'!C202=All_Accounts_in_XERO))&gt;0,'Trial Balance Dump'!A202,"")</f>
        <v/>
      </c>
      <c r="B213" s="34" t="str" cm="1">
        <f t="array" ref="B213">IF(SUMPRODUCT(--('Trial Balance Dump'!C202=All_Accounts_in_XERO))&gt;0,'Trial Balance Dump'!B202,"")</f>
        <v/>
      </c>
      <c r="C213" s="34" t="str" cm="1">
        <f t="array" ref="C213">IF(SUMPRODUCT(--('Trial Balance Dump'!C202=All_Accounts_in_XERO))&gt;0,'Trial Balance Dump'!C202,"")</f>
        <v/>
      </c>
      <c r="D213" s="60"/>
      <c r="E213" s="63"/>
      <c r="G213" s="69" t="str">
        <f t="shared" si="3"/>
        <v/>
      </c>
    </row>
    <row r="214" spans="1:7" x14ac:dyDescent="0.4">
      <c r="A214" s="54" t="str" cm="1">
        <f t="array" ref="A214">IF(SUMPRODUCT(--('Trial Balance Dump'!C203=All_Accounts_in_XERO))&gt;0,'Trial Balance Dump'!A203,"")</f>
        <v/>
      </c>
      <c r="B214" s="34" t="str" cm="1">
        <f t="array" ref="B214">IF(SUMPRODUCT(--('Trial Balance Dump'!C203=All_Accounts_in_XERO))&gt;0,'Trial Balance Dump'!B203,"")</f>
        <v/>
      </c>
      <c r="C214" s="34" t="str" cm="1">
        <f t="array" ref="C214">IF(SUMPRODUCT(--('Trial Balance Dump'!C203=All_Accounts_in_XERO))&gt;0,'Trial Balance Dump'!C203,"")</f>
        <v/>
      </c>
      <c r="D214" s="60"/>
      <c r="G214" s="69" t="str">
        <f t="shared" si="3"/>
        <v/>
      </c>
    </row>
    <row r="215" spans="1:7" x14ac:dyDescent="0.4">
      <c r="A215" s="54" t="str" cm="1">
        <f t="array" ref="A215">IF(SUMPRODUCT(--('Trial Balance Dump'!C204=All_Accounts_in_XERO))&gt;0,'Trial Balance Dump'!A204,"")</f>
        <v/>
      </c>
      <c r="B215" s="34" t="str" cm="1">
        <f t="array" ref="B215">IF(SUMPRODUCT(--('Trial Balance Dump'!C204=All_Accounts_in_XERO))&gt;0,'Trial Balance Dump'!B204,"")</f>
        <v/>
      </c>
      <c r="C215" s="34" t="str" cm="1">
        <f t="array" ref="C215">IF(SUMPRODUCT(--('Trial Balance Dump'!C204=All_Accounts_in_XERO))&gt;0,'Trial Balance Dump'!C204,"")</f>
        <v/>
      </c>
      <c r="D215" s="60"/>
      <c r="G215" s="69" t="str">
        <f t="shared" si="3"/>
        <v/>
      </c>
    </row>
    <row r="216" spans="1:7" x14ac:dyDescent="0.4">
      <c r="A216" s="54" t="str" cm="1">
        <f t="array" ref="A216">IF(SUMPRODUCT(--('Trial Balance Dump'!C205=All_Accounts_in_XERO))&gt;0,'Trial Balance Dump'!A205,"")</f>
        <v/>
      </c>
      <c r="B216" s="34" t="str" cm="1">
        <f t="array" ref="B216">IF(SUMPRODUCT(--('Trial Balance Dump'!C205=All_Accounts_in_XERO))&gt;0,'Trial Balance Dump'!B205,"")</f>
        <v/>
      </c>
      <c r="C216" s="34" t="str" cm="1">
        <f t="array" ref="C216">IF(SUMPRODUCT(--('Trial Balance Dump'!C205=All_Accounts_in_XERO))&gt;0,'Trial Balance Dump'!C205,"")</f>
        <v/>
      </c>
      <c r="D216" s="60"/>
      <c r="G216" s="69" t="str">
        <f t="shared" si="3"/>
        <v/>
      </c>
    </row>
    <row r="217" spans="1:7" x14ac:dyDescent="0.4">
      <c r="A217" s="54" t="str" cm="1">
        <f t="array" ref="A217">IF(SUMPRODUCT(--('Trial Balance Dump'!C206=All_Accounts_in_XERO))&gt;0,'Trial Balance Dump'!A206,"")</f>
        <v/>
      </c>
      <c r="B217" s="34" t="str" cm="1">
        <f t="array" ref="B217">IF(SUMPRODUCT(--('Trial Balance Dump'!C206=All_Accounts_in_XERO))&gt;0,'Trial Balance Dump'!B206,"")</f>
        <v/>
      </c>
      <c r="C217" s="34" t="str" cm="1">
        <f t="array" ref="C217">IF(SUMPRODUCT(--('Trial Balance Dump'!C206=All_Accounts_in_XERO))&gt;0,'Trial Balance Dump'!C206,"")</f>
        <v/>
      </c>
      <c r="D217" s="60"/>
      <c r="G217" s="69" t="str">
        <f t="shared" si="3"/>
        <v/>
      </c>
    </row>
    <row r="218" spans="1:7" x14ac:dyDescent="0.4">
      <c r="A218" s="54" t="str" cm="1">
        <f t="array" ref="A218">IF(SUMPRODUCT(--('Trial Balance Dump'!C207=All_Accounts_in_XERO))&gt;0,'Trial Balance Dump'!A207,"")</f>
        <v/>
      </c>
      <c r="B218" s="34" t="str" cm="1">
        <f t="array" ref="B218">IF(SUMPRODUCT(--('Trial Balance Dump'!C207=All_Accounts_in_XERO))&gt;0,'Trial Balance Dump'!B207,"")</f>
        <v/>
      </c>
      <c r="C218" s="34" t="str" cm="1">
        <f t="array" ref="C218">IF(SUMPRODUCT(--('Trial Balance Dump'!C207=All_Accounts_in_XERO))&gt;0,'Trial Balance Dump'!C207,"")</f>
        <v/>
      </c>
      <c r="D218" s="60"/>
      <c r="G218" s="69" t="str">
        <f t="shared" si="3"/>
        <v/>
      </c>
    </row>
    <row r="219" spans="1:7" x14ac:dyDescent="0.4">
      <c r="A219" s="54" t="str" cm="1">
        <f t="array" ref="A219">IF(SUMPRODUCT(--('Trial Balance Dump'!C208=All_Accounts_in_XERO))&gt;0,'Trial Balance Dump'!A208,"")</f>
        <v/>
      </c>
      <c r="B219" s="34" t="str" cm="1">
        <f t="array" ref="B219">IF(SUMPRODUCT(--('Trial Balance Dump'!C208=All_Accounts_in_XERO))&gt;0,'Trial Balance Dump'!B208,"")</f>
        <v/>
      </c>
      <c r="C219" s="34" t="str" cm="1">
        <f t="array" ref="C219">IF(SUMPRODUCT(--('Trial Balance Dump'!C208=All_Accounts_in_XERO))&gt;0,'Trial Balance Dump'!C208,"")</f>
        <v/>
      </c>
      <c r="D219" s="60"/>
      <c r="G219" s="69" t="str">
        <f t="shared" si="3"/>
        <v/>
      </c>
    </row>
    <row r="220" spans="1:7" x14ac:dyDescent="0.4">
      <c r="A220" s="54" t="str" cm="1">
        <f t="array" ref="A220">IF(SUMPRODUCT(--('Trial Balance Dump'!C209=All_Accounts_in_XERO))&gt;0,'Trial Balance Dump'!A209,"")</f>
        <v/>
      </c>
      <c r="B220" s="34" t="str" cm="1">
        <f t="array" ref="B220">IF(SUMPRODUCT(--('Trial Balance Dump'!C209=All_Accounts_in_XERO))&gt;0,'Trial Balance Dump'!B209,"")</f>
        <v/>
      </c>
      <c r="C220" s="34" t="str" cm="1">
        <f t="array" ref="C220">IF(SUMPRODUCT(--('Trial Balance Dump'!C209=All_Accounts_in_XERO))&gt;0,'Trial Balance Dump'!C209,"")</f>
        <v/>
      </c>
      <c r="D220" s="60"/>
      <c r="G220" s="69" t="str">
        <f t="shared" si="3"/>
        <v/>
      </c>
    </row>
    <row r="221" spans="1:7" x14ac:dyDescent="0.4">
      <c r="A221" s="54" t="str" cm="1">
        <f t="array" ref="A221">IF(SUMPRODUCT(--('Trial Balance Dump'!C210=All_Accounts_in_XERO))&gt;0,'Trial Balance Dump'!A210,"")</f>
        <v/>
      </c>
      <c r="B221" s="34" t="str" cm="1">
        <f t="array" ref="B221">IF(SUMPRODUCT(--('Trial Balance Dump'!C210=All_Accounts_in_XERO))&gt;0,'Trial Balance Dump'!B210,"")</f>
        <v/>
      </c>
      <c r="C221" s="34" t="str" cm="1">
        <f t="array" ref="C221">IF(SUMPRODUCT(--('Trial Balance Dump'!C210=All_Accounts_in_XERO))&gt;0,'Trial Balance Dump'!C210,"")</f>
        <v/>
      </c>
      <c r="D221" s="60"/>
      <c r="G221" s="69" t="str">
        <f t="shared" si="3"/>
        <v/>
      </c>
    </row>
    <row r="222" spans="1:7" x14ac:dyDescent="0.4">
      <c r="A222" s="54" t="str" cm="1">
        <f t="array" ref="A222">IF(SUMPRODUCT(--('Trial Balance Dump'!C211=All_Accounts_in_XERO))&gt;0,'Trial Balance Dump'!A211,"")</f>
        <v/>
      </c>
      <c r="B222" s="34" t="str" cm="1">
        <f t="array" ref="B222">IF(SUMPRODUCT(--('Trial Balance Dump'!C211=All_Accounts_in_XERO))&gt;0,'Trial Balance Dump'!B211,"")</f>
        <v/>
      </c>
      <c r="C222" s="34" t="str" cm="1">
        <f t="array" ref="C222">IF(SUMPRODUCT(--('Trial Balance Dump'!C211=All_Accounts_in_XERO))&gt;0,'Trial Balance Dump'!C211,"")</f>
        <v/>
      </c>
      <c r="D222" s="60"/>
      <c r="G222" s="69" t="str">
        <f t="shared" si="3"/>
        <v/>
      </c>
    </row>
    <row r="223" spans="1:7" x14ac:dyDescent="0.4">
      <c r="A223" s="54" t="str" cm="1">
        <f t="array" ref="A223">IF(SUMPRODUCT(--('Trial Balance Dump'!C212=All_Accounts_in_XERO))&gt;0,'Trial Balance Dump'!A212,"")</f>
        <v/>
      </c>
      <c r="B223" s="34" t="str" cm="1">
        <f t="array" ref="B223">IF(SUMPRODUCT(--('Trial Balance Dump'!C212=All_Accounts_in_XERO))&gt;0,'Trial Balance Dump'!B212,"")</f>
        <v/>
      </c>
      <c r="C223" s="34" t="str" cm="1">
        <f t="array" ref="C223">IF(SUMPRODUCT(--('Trial Balance Dump'!C212=All_Accounts_in_XERO))&gt;0,'Trial Balance Dump'!C212,"")</f>
        <v/>
      </c>
      <c r="D223" s="60"/>
      <c r="G223" s="69" t="str">
        <f t="shared" si="3"/>
        <v/>
      </c>
    </row>
    <row r="224" spans="1:7" x14ac:dyDescent="0.4">
      <c r="A224" s="54" t="str" cm="1">
        <f t="array" ref="A224">IF(SUMPRODUCT(--('Trial Balance Dump'!C213=All_Accounts_in_XERO))&gt;0,'Trial Balance Dump'!A213,"")</f>
        <v/>
      </c>
      <c r="B224" s="34" t="str" cm="1">
        <f t="array" ref="B224">IF(SUMPRODUCT(--('Trial Balance Dump'!C213=All_Accounts_in_XERO))&gt;0,'Trial Balance Dump'!B213,"")</f>
        <v/>
      </c>
      <c r="C224" s="34" t="str" cm="1">
        <f t="array" ref="C224">IF(SUMPRODUCT(--('Trial Balance Dump'!C213=All_Accounts_in_XERO))&gt;0,'Trial Balance Dump'!C213,"")</f>
        <v/>
      </c>
      <c r="D224" s="60"/>
      <c r="G224" s="69" t="str">
        <f t="shared" si="3"/>
        <v/>
      </c>
    </row>
    <row r="225" spans="1:7" x14ac:dyDescent="0.4">
      <c r="A225" s="54" t="str" cm="1">
        <f t="array" ref="A225">IF(SUMPRODUCT(--('Trial Balance Dump'!C214=All_Accounts_in_XERO))&gt;0,'Trial Balance Dump'!A214,"")</f>
        <v/>
      </c>
      <c r="B225" s="34" t="str" cm="1">
        <f t="array" ref="B225">IF(SUMPRODUCT(--('Trial Balance Dump'!C214=All_Accounts_in_XERO))&gt;0,'Trial Balance Dump'!B214,"")</f>
        <v/>
      </c>
      <c r="C225" s="34" t="str" cm="1">
        <f t="array" ref="C225">IF(SUMPRODUCT(--('Trial Balance Dump'!C214=All_Accounts_in_XERO))&gt;0,'Trial Balance Dump'!C214,"")</f>
        <v/>
      </c>
      <c r="D225" s="60"/>
      <c r="G225" s="69" t="str">
        <f t="shared" si="3"/>
        <v/>
      </c>
    </row>
    <row r="226" spans="1:7" x14ac:dyDescent="0.4">
      <c r="A226" s="54" t="str" cm="1">
        <f t="array" ref="A226">IF(SUMPRODUCT(--('Trial Balance Dump'!C215=All_Accounts_in_XERO))&gt;0,'Trial Balance Dump'!A215,"")</f>
        <v/>
      </c>
      <c r="B226" s="34" t="str" cm="1">
        <f t="array" ref="B226">IF(SUMPRODUCT(--('Trial Balance Dump'!C215=All_Accounts_in_XERO))&gt;0,'Trial Balance Dump'!B215,"")</f>
        <v/>
      </c>
      <c r="C226" s="34" t="str" cm="1">
        <f t="array" ref="C226">IF(SUMPRODUCT(--('Trial Balance Dump'!C215=All_Accounts_in_XERO))&gt;0,'Trial Balance Dump'!C215,"")</f>
        <v/>
      </c>
      <c r="D226" s="60"/>
      <c r="G226" s="69" t="str">
        <f t="shared" si="3"/>
        <v/>
      </c>
    </row>
    <row r="227" spans="1:7" x14ac:dyDescent="0.4">
      <c r="A227" s="54" t="str" cm="1">
        <f t="array" ref="A227">IF(SUMPRODUCT(--('Trial Balance Dump'!C216=All_Accounts_in_XERO))&gt;0,'Trial Balance Dump'!A216,"")</f>
        <v/>
      </c>
      <c r="B227" s="34" t="str" cm="1">
        <f t="array" ref="B227">IF(SUMPRODUCT(--('Trial Balance Dump'!C216=All_Accounts_in_XERO))&gt;0,'Trial Balance Dump'!B216,"")</f>
        <v/>
      </c>
      <c r="C227" s="34" t="str" cm="1">
        <f t="array" ref="C227">IF(SUMPRODUCT(--('Trial Balance Dump'!C216=All_Accounts_in_XERO))&gt;0,'Trial Balance Dump'!C216,"")</f>
        <v/>
      </c>
      <c r="D227" s="60"/>
      <c r="G227" s="69" t="str">
        <f t="shared" si="3"/>
        <v/>
      </c>
    </row>
    <row r="228" spans="1:7" x14ac:dyDescent="0.4">
      <c r="A228" s="54" t="str" cm="1">
        <f t="array" ref="A228">IF(SUMPRODUCT(--('Trial Balance Dump'!C217=All_Accounts_in_XERO))&gt;0,'Trial Balance Dump'!A217,"")</f>
        <v/>
      </c>
      <c r="B228" s="34" t="str" cm="1">
        <f t="array" ref="B228">IF(SUMPRODUCT(--('Trial Balance Dump'!C217=All_Accounts_in_XERO))&gt;0,'Trial Balance Dump'!B217,"")</f>
        <v/>
      </c>
      <c r="C228" s="34" t="str" cm="1">
        <f t="array" ref="C228">IF(SUMPRODUCT(--('Trial Balance Dump'!C217=All_Accounts_in_XERO))&gt;0,'Trial Balance Dump'!C217,"")</f>
        <v/>
      </c>
      <c r="D228" s="60"/>
      <c r="G228" s="69" t="str">
        <f t="shared" si="3"/>
        <v/>
      </c>
    </row>
    <row r="229" spans="1:7" x14ac:dyDescent="0.4">
      <c r="A229" s="54" t="str" cm="1">
        <f t="array" ref="A229">IF(SUMPRODUCT(--('Trial Balance Dump'!C218=All_Accounts_in_XERO))&gt;0,'Trial Balance Dump'!A218,"")</f>
        <v/>
      </c>
      <c r="B229" s="34" t="str" cm="1">
        <f t="array" ref="B229">IF(SUMPRODUCT(--('Trial Balance Dump'!C218=All_Accounts_in_XERO))&gt;0,'Trial Balance Dump'!B218,"")</f>
        <v/>
      </c>
      <c r="C229" s="34" t="str" cm="1">
        <f t="array" ref="C229">IF(SUMPRODUCT(--('Trial Balance Dump'!C218=All_Accounts_in_XERO))&gt;0,'Trial Balance Dump'!C218,"")</f>
        <v/>
      </c>
      <c r="D229" s="60"/>
      <c r="G229" s="69" t="str">
        <f t="shared" si="3"/>
        <v/>
      </c>
    </row>
    <row r="230" spans="1:7" x14ac:dyDescent="0.4">
      <c r="A230" s="54" t="str" cm="1">
        <f t="array" ref="A230">IF(SUMPRODUCT(--('Trial Balance Dump'!C219=All_Accounts_in_XERO))&gt;0,'Trial Balance Dump'!A219,"")</f>
        <v/>
      </c>
      <c r="B230" s="34" t="str" cm="1">
        <f t="array" ref="B230">IF(SUMPRODUCT(--('Trial Balance Dump'!C219=All_Accounts_in_XERO))&gt;0,'Trial Balance Dump'!B219,"")</f>
        <v/>
      </c>
      <c r="C230" s="34" t="str" cm="1">
        <f t="array" ref="C230">IF(SUMPRODUCT(--('Trial Balance Dump'!C219=All_Accounts_in_XERO))&gt;0,'Trial Balance Dump'!C219,"")</f>
        <v/>
      </c>
      <c r="D230" s="60"/>
      <c r="G230" s="69" t="str">
        <f t="shared" si="3"/>
        <v/>
      </c>
    </row>
    <row r="231" spans="1:7" x14ac:dyDescent="0.4">
      <c r="A231" s="54" t="str" cm="1">
        <f t="array" ref="A231">IF(SUMPRODUCT(--('Trial Balance Dump'!C220=All_Accounts_in_XERO))&gt;0,'Trial Balance Dump'!A220,"")</f>
        <v/>
      </c>
      <c r="B231" s="34" t="str" cm="1">
        <f t="array" ref="B231">IF(SUMPRODUCT(--('Trial Balance Dump'!C220=All_Accounts_in_XERO))&gt;0,'Trial Balance Dump'!B220,"")</f>
        <v/>
      </c>
      <c r="C231" s="34" t="str" cm="1">
        <f t="array" ref="C231">IF(SUMPRODUCT(--('Trial Balance Dump'!C220=All_Accounts_in_XERO))&gt;0,'Trial Balance Dump'!C220,"")</f>
        <v/>
      </c>
      <c r="D231" s="60"/>
      <c r="G231" s="69" t="str">
        <f t="shared" si="3"/>
        <v/>
      </c>
    </row>
    <row r="232" spans="1:7" x14ac:dyDescent="0.4">
      <c r="A232" s="54" t="str" cm="1">
        <f t="array" ref="A232">IF(SUMPRODUCT(--('Trial Balance Dump'!C221=All_Accounts_in_XERO))&gt;0,'Trial Balance Dump'!A221,"")</f>
        <v/>
      </c>
      <c r="B232" s="34" t="str" cm="1">
        <f t="array" ref="B232">IF(SUMPRODUCT(--('Trial Balance Dump'!C221=All_Accounts_in_XERO))&gt;0,'Trial Balance Dump'!B221,"")</f>
        <v/>
      </c>
      <c r="C232" s="34" t="str" cm="1">
        <f t="array" ref="C232">IF(SUMPRODUCT(--('Trial Balance Dump'!C221=All_Accounts_in_XERO))&gt;0,'Trial Balance Dump'!C221,"")</f>
        <v/>
      </c>
      <c r="D232" s="60"/>
      <c r="G232" s="69" t="str">
        <f t="shared" si="3"/>
        <v/>
      </c>
    </row>
    <row r="233" spans="1:7" x14ac:dyDescent="0.4">
      <c r="A233" s="54" t="str" cm="1">
        <f t="array" ref="A233">IF(SUMPRODUCT(--('Trial Balance Dump'!C222=All_Accounts_in_XERO))&gt;0,'Trial Balance Dump'!A222,"")</f>
        <v/>
      </c>
      <c r="B233" s="34" t="str" cm="1">
        <f t="array" ref="B233">IF(SUMPRODUCT(--('Trial Balance Dump'!C222=All_Accounts_in_XERO))&gt;0,'Trial Balance Dump'!B222,"")</f>
        <v/>
      </c>
      <c r="C233" s="34" t="str" cm="1">
        <f t="array" ref="C233">IF(SUMPRODUCT(--('Trial Balance Dump'!C222=All_Accounts_in_XERO))&gt;0,'Trial Balance Dump'!C222,"")</f>
        <v/>
      </c>
      <c r="D233" s="60"/>
      <c r="G233" s="69" t="str">
        <f t="shared" si="3"/>
        <v/>
      </c>
    </row>
    <row r="234" spans="1:7" x14ac:dyDescent="0.4">
      <c r="A234" s="54" t="str" cm="1">
        <f t="array" ref="A234">IF(SUMPRODUCT(--('Trial Balance Dump'!C223=All_Accounts_in_XERO))&gt;0,'Trial Balance Dump'!A223,"")</f>
        <v/>
      </c>
      <c r="B234" s="34" t="str" cm="1">
        <f t="array" ref="B234">IF(SUMPRODUCT(--('Trial Balance Dump'!C223=All_Accounts_in_XERO))&gt;0,'Trial Balance Dump'!B223,"")</f>
        <v/>
      </c>
      <c r="C234" s="34" t="str" cm="1">
        <f t="array" ref="C234">IF(SUMPRODUCT(--('Trial Balance Dump'!C223=All_Accounts_in_XERO))&gt;0,'Trial Balance Dump'!C223,"")</f>
        <v/>
      </c>
      <c r="D234" s="60"/>
      <c r="G234" s="69" t="str">
        <f t="shared" si="3"/>
        <v/>
      </c>
    </row>
    <row r="235" spans="1:7" x14ac:dyDescent="0.4">
      <c r="A235" s="54" t="str" cm="1">
        <f t="array" ref="A235">IF(SUMPRODUCT(--('Trial Balance Dump'!C224=All_Accounts_in_XERO))&gt;0,'Trial Balance Dump'!A224,"")</f>
        <v/>
      </c>
      <c r="B235" s="34" t="str" cm="1">
        <f t="array" ref="B235">IF(SUMPRODUCT(--('Trial Balance Dump'!C224=All_Accounts_in_XERO))&gt;0,'Trial Balance Dump'!B224,"")</f>
        <v/>
      </c>
      <c r="C235" s="34" t="str" cm="1">
        <f t="array" ref="C235">IF(SUMPRODUCT(--('Trial Balance Dump'!C224=All_Accounts_in_XERO))&gt;0,'Trial Balance Dump'!C224,"")</f>
        <v/>
      </c>
      <c r="D235" s="60"/>
      <c r="G235" s="69" t="str">
        <f t="shared" si="3"/>
        <v/>
      </c>
    </row>
    <row r="236" spans="1:7" x14ac:dyDescent="0.4">
      <c r="A236" s="54" t="str" cm="1">
        <f t="array" ref="A236">IF(SUMPRODUCT(--('Trial Balance Dump'!C225=All_Accounts_in_XERO))&gt;0,'Trial Balance Dump'!A225,"")</f>
        <v/>
      </c>
      <c r="B236" s="34" t="str" cm="1">
        <f t="array" ref="B236">IF(SUMPRODUCT(--('Trial Balance Dump'!C225=All_Accounts_in_XERO))&gt;0,'Trial Balance Dump'!B225,"")</f>
        <v/>
      </c>
      <c r="C236" s="34" t="str" cm="1">
        <f t="array" ref="C236">IF(SUMPRODUCT(--('Trial Balance Dump'!C225=All_Accounts_in_XERO))&gt;0,'Trial Balance Dump'!C225,"")</f>
        <v/>
      </c>
      <c r="D236" s="60"/>
      <c r="G236" s="69" t="str">
        <f t="shared" si="3"/>
        <v/>
      </c>
    </row>
    <row r="237" spans="1:7" x14ac:dyDescent="0.4">
      <c r="A237" s="54" t="str" cm="1">
        <f t="array" ref="A237">IF(SUMPRODUCT(--('Trial Balance Dump'!C226=All_Accounts_in_XERO))&gt;0,'Trial Balance Dump'!A226,"")</f>
        <v/>
      </c>
      <c r="B237" s="34" t="str" cm="1">
        <f t="array" ref="B237">IF(SUMPRODUCT(--('Trial Balance Dump'!C226=All_Accounts_in_XERO))&gt;0,'Trial Balance Dump'!B226,"")</f>
        <v/>
      </c>
      <c r="C237" s="34" t="str" cm="1">
        <f t="array" ref="C237">IF(SUMPRODUCT(--('Trial Balance Dump'!C226=All_Accounts_in_XERO))&gt;0,'Trial Balance Dump'!C226,"")</f>
        <v/>
      </c>
      <c r="D237" s="60"/>
      <c r="G237" s="69" t="str">
        <f t="shared" si="3"/>
        <v/>
      </c>
    </row>
    <row r="238" spans="1:7" x14ac:dyDescent="0.4">
      <c r="A238" s="54" t="str" cm="1">
        <f t="array" ref="A238">IF(SUMPRODUCT(--('Trial Balance Dump'!C227=All_Accounts_in_XERO))&gt;0,'Trial Balance Dump'!A227,"")</f>
        <v/>
      </c>
      <c r="B238" s="34" t="str" cm="1">
        <f t="array" ref="B238">IF(SUMPRODUCT(--('Trial Balance Dump'!C227=All_Accounts_in_XERO))&gt;0,'Trial Balance Dump'!B227,"")</f>
        <v/>
      </c>
      <c r="C238" s="34" t="str" cm="1">
        <f t="array" ref="C238">IF(SUMPRODUCT(--('Trial Balance Dump'!C227=All_Accounts_in_XERO))&gt;0,'Trial Balance Dump'!C227,"")</f>
        <v/>
      </c>
      <c r="D238" s="60"/>
      <c r="G238" s="69" t="str">
        <f t="shared" si="3"/>
        <v/>
      </c>
    </row>
    <row r="239" spans="1:7" x14ac:dyDescent="0.4">
      <c r="A239" s="54" t="str" cm="1">
        <f t="array" ref="A239">IF(SUMPRODUCT(--('Trial Balance Dump'!C228=All_Accounts_in_XERO))&gt;0,'Trial Balance Dump'!A228,"")</f>
        <v/>
      </c>
      <c r="B239" s="34" t="str" cm="1">
        <f t="array" ref="B239">IF(SUMPRODUCT(--('Trial Balance Dump'!C228=All_Accounts_in_XERO))&gt;0,'Trial Balance Dump'!B228,"")</f>
        <v/>
      </c>
      <c r="C239" s="34" t="str" cm="1">
        <f t="array" ref="C239">IF(SUMPRODUCT(--('Trial Balance Dump'!C228=All_Accounts_in_XERO))&gt;0,'Trial Balance Dump'!C228,"")</f>
        <v/>
      </c>
      <c r="D239" s="60"/>
      <c r="G239" s="69" t="str">
        <f t="shared" si="3"/>
        <v/>
      </c>
    </row>
    <row r="240" spans="1:7" x14ac:dyDescent="0.4">
      <c r="A240" s="54" t="str" cm="1">
        <f t="array" ref="A240">IF(SUMPRODUCT(--('Trial Balance Dump'!C229=All_Accounts_in_XERO))&gt;0,'Trial Balance Dump'!A229,"")</f>
        <v/>
      </c>
      <c r="B240" s="34" t="str" cm="1">
        <f t="array" ref="B240">IF(SUMPRODUCT(--('Trial Balance Dump'!C229=All_Accounts_in_XERO))&gt;0,'Trial Balance Dump'!B229,"")</f>
        <v/>
      </c>
      <c r="C240" s="34" t="str" cm="1">
        <f t="array" ref="C240">IF(SUMPRODUCT(--('Trial Balance Dump'!C229=All_Accounts_in_XERO))&gt;0,'Trial Balance Dump'!C229,"")</f>
        <v/>
      </c>
      <c r="D240" s="60"/>
      <c r="G240" s="69" t="str">
        <f t="shared" si="3"/>
        <v/>
      </c>
    </row>
    <row r="241" spans="1:7" x14ac:dyDescent="0.4">
      <c r="A241" s="54" t="str" cm="1">
        <f t="array" ref="A241">IF(SUMPRODUCT(--('Trial Balance Dump'!C230=All_Accounts_in_XERO))&gt;0,'Trial Balance Dump'!A230,"")</f>
        <v/>
      </c>
      <c r="B241" s="34" t="str" cm="1">
        <f t="array" ref="B241">IF(SUMPRODUCT(--('Trial Balance Dump'!C230=All_Accounts_in_XERO))&gt;0,'Trial Balance Dump'!B230,"")</f>
        <v/>
      </c>
      <c r="C241" s="34" t="str" cm="1">
        <f t="array" ref="C241">IF(SUMPRODUCT(--('Trial Balance Dump'!C230=All_Accounts_in_XERO))&gt;0,'Trial Balance Dump'!C230,"")</f>
        <v/>
      </c>
      <c r="D241" s="60"/>
      <c r="G241" s="69" t="str">
        <f t="shared" si="3"/>
        <v/>
      </c>
    </row>
    <row r="242" spans="1:7" x14ac:dyDescent="0.4">
      <c r="A242" s="54" t="str" cm="1">
        <f t="array" ref="A242">IF(SUMPRODUCT(--('Trial Balance Dump'!C231=All_Accounts_in_XERO))&gt;0,'Trial Balance Dump'!A231,"")</f>
        <v/>
      </c>
      <c r="B242" s="34" t="str" cm="1">
        <f t="array" ref="B242">IF(SUMPRODUCT(--('Trial Balance Dump'!C231=All_Accounts_in_XERO))&gt;0,'Trial Balance Dump'!B231,"")</f>
        <v/>
      </c>
      <c r="C242" s="34" t="str" cm="1">
        <f t="array" ref="C242">IF(SUMPRODUCT(--('Trial Balance Dump'!C231=All_Accounts_in_XERO))&gt;0,'Trial Balance Dump'!C231,"")</f>
        <v/>
      </c>
      <c r="D242" s="60"/>
      <c r="G242" s="69" t="str">
        <f t="shared" si="3"/>
        <v/>
      </c>
    </row>
    <row r="243" spans="1:7" x14ac:dyDescent="0.4">
      <c r="A243" s="54" t="str" cm="1">
        <f t="array" ref="A243">IF(SUMPRODUCT(--('Trial Balance Dump'!C232=All_Accounts_in_XERO))&gt;0,'Trial Balance Dump'!A232,"")</f>
        <v/>
      </c>
      <c r="B243" s="34" t="str" cm="1">
        <f t="array" ref="B243">IF(SUMPRODUCT(--('Trial Balance Dump'!C232=All_Accounts_in_XERO))&gt;0,'Trial Balance Dump'!B232,"")</f>
        <v/>
      </c>
      <c r="C243" s="34" t="str" cm="1">
        <f t="array" ref="C243">IF(SUMPRODUCT(--('Trial Balance Dump'!C232=All_Accounts_in_XERO))&gt;0,'Trial Balance Dump'!C232,"")</f>
        <v/>
      </c>
      <c r="D243" s="60"/>
      <c r="G243" s="69" t="str">
        <f t="shared" si="3"/>
        <v/>
      </c>
    </row>
    <row r="244" spans="1:7" x14ac:dyDescent="0.4">
      <c r="A244" s="54" t="str" cm="1">
        <f t="array" ref="A244">IF(SUMPRODUCT(--('Trial Balance Dump'!C233=All_Accounts_in_XERO))&gt;0,'Trial Balance Dump'!A233,"")</f>
        <v/>
      </c>
      <c r="B244" s="34" t="str" cm="1">
        <f t="array" ref="B244">IF(SUMPRODUCT(--('Trial Balance Dump'!C233=All_Accounts_in_XERO))&gt;0,'Trial Balance Dump'!B233,"")</f>
        <v/>
      </c>
      <c r="C244" s="34" t="str" cm="1">
        <f t="array" ref="C244">IF(SUMPRODUCT(--('Trial Balance Dump'!C233=All_Accounts_in_XERO))&gt;0,'Trial Balance Dump'!C233,"")</f>
        <v/>
      </c>
      <c r="D244" s="60"/>
      <c r="G244" s="69" t="str">
        <f t="shared" si="3"/>
        <v/>
      </c>
    </row>
    <row r="245" spans="1:7" x14ac:dyDescent="0.4">
      <c r="A245" s="54" t="str" cm="1">
        <f t="array" ref="A245">IF(SUMPRODUCT(--('Trial Balance Dump'!C234=All_Accounts_in_XERO))&gt;0,'Trial Balance Dump'!A234,"")</f>
        <v/>
      </c>
      <c r="B245" s="34" t="str" cm="1">
        <f t="array" ref="B245">IF(SUMPRODUCT(--('Trial Balance Dump'!C234=All_Accounts_in_XERO))&gt;0,'Trial Balance Dump'!B234,"")</f>
        <v/>
      </c>
      <c r="C245" s="34" t="str" cm="1">
        <f t="array" ref="C245">IF(SUMPRODUCT(--('Trial Balance Dump'!C234=All_Accounts_in_XERO))&gt;0,'Trial Balance Dump'!C234,"")</f>
        <v/>
      </c>
      <c r="D245" s="60"/>
      <c r="G245" s="69" t="str">
        <f t="shared" si="3"/>
        <v/>
      </c>
    </row>
    <row r="246" spans="1:7" x14ac:dyDescent="0.4">
      <c r="A246" s="54" t="str" cm="1">
        <f t="array" ref="A246">IF(SUMPRODUCT(--('Trial Balance Dump'!C235=All_Accounts_in_XERO))&gt;0,'Trial Balance Dump'!A235,"")</f>
        <v/>
      </c>
      <c r="B246" s="34" t="str" cm="1">
        <f t="array" ref="B246">IF(SUMPRODUCT(--('Trial Balance Dump'!C235=All_Accounts_in_XERO))&gt;0,'Trial Balance Dump'!B235,"")</f>
        <v/>
      </c>
      <c r="C246" s="34" t="str" cm="1">
        <f t="array" ref="C246">IF(SUMPRODUCT(--('Trial Balance Dump'!C235=All_Accounts_in_XERO))&gt;0,'Trial Balance Dump'!C235,"")</f>
        <v/>
      </c>
      <c r="D246" s="60"/>
      <c r="G246" s="69" t="str">
        <f t="shared" si="3"/>
        <v/>
      </c>
    </row>
    <row r="247" spans="1:7" x14ac:dyDescent="0.4">
      <c r="A247" s="54" t="str" cm="1">
        <f t="array" ref="A247">IF(SUMPRODUCT(--('Trial Balance Dump'!C236=All_Accounts_in_XERO))&gt;0,'Trial Balance Dump'!A236,"")</f>
        <v/>
      </c>
      <c r="B247" s="34" t="str" cm="1">
        <f t="array" ref="B247">IF(SUMPRODUCT(--('Trial Balance Dump'!C236=All_Accounts_in_XERO))&gt;0,'Trial Balance Dump'!B236,"")</f>
        <v/>
      </c>
      <c r="C247" s="34" t="str" cm="1">
        <f t="array" ref="C247">IF(SUMPRODUCT(--('Trial Balance Dump'!C236=All_Accounts_in_XERO))&gt;0,'Trial Balance Dump'!C236,"")</f>
        <v/>
      </c>
      <c r="D247" s="60"/>
      <c r="G247" s="69" t="str">
        <f t="shared" si="3"/>
        <v/>
      </c>
    </row>
    <row r="248" spans="1:7" x14ac:dyDescent="0.4">
      <c r="A248" s="54" t="str" cm="1">
        <f t="array" ref="A248">IF(SUMPRODUCT(--('Trial Balance Dump'!C237=All_Accounts_in_XERO))&gt;0,'Trial Balance Dump'!A237,"")</f>
        <v/>
      </c>
      <c r="B248" s="34" t="str" cm="1">
        <f t="array" ref="B248">IF(SUMPRODUCT(--('Trial Balance Dump'!C237=All_Accounts_in_XERO))&gt;0,'Trial Balance Dump'!B237,"")</f>
        <v/>
      </c>
      <c r="C248" s="34" t="str" cm="1">
        <f t="array" ref="C248">IF(SUMPRODUCT(--('Trial Balance Dump'!C237=All_Accounts_in_XERO))&gt;0,'Trial Balance Dump'!C237,"")</f>
        <v/>
      </c>
      <c r="D248" s="60"/>
      <c r="G248" s="69" t="str">
        <f t="shared" si="3"/>
        <v/>
      </c>
    </row>
    <row r="249" spans="1:7" x14ac:dyDescent="0.4">
      <c r="A249" s="54" t="str" cm="1">
        <f t="array" ref="A249">IF(SUMPRODUCT(--('Trial Balance Dump'!C238=All_Accounts_in_XERO))&gt;0,'Trial Balance Dump'!A238,"")</f>
        <v/>
      </c>
      <c r="B249" s="34" t="str" cm="1">
        <f t="array" ref="B249">IF(SUMPRODUCT(--('Trial Balance Dump'!C238=All_Accounts_in_XERO))&gt;0,'Trial Balance Dump'!B238,"")</f>
        <v/>
      </c>
      <c r="C249" s="34" t="str" cm="1">
        <f t="array" ref="C249">IF(SUMPRODUCT(--('Trial Balance Dump'!C238=All_Accounts_in_XERO))&gt;0,'Trial Balance Dump'!C238,"")</f>
        <v/>
      </c>
      <c r="D249" s="60"/>
      <c r="G249" s="69" t="str">
        <f t="shared" si="3"/>
        <v/>
      </c>
    </row>
    <row r="250" spans="1:7" x14ac:dyDescent="0.4">
      <c r="A250" s="54" t="str" cm="1">
        <f t="array" ref="A250">IF(SUMPRODUCT(--('Trial Balance Dump'!C239=All_Accounts_in_XERO))&gt;0,'Trial Balance Dump'!A239,"")</f>
        <v/>
      </c>
      <c r="B250" s="34" t="str" cm="1">
        <f t="array" ref="B250">IF(SUMPRODUCT(--('Trial Balance Dump'!C239=All_Accounts_in_XERO))&gt;0,'Trial Balance Dump'!B239,"")</f>
        <v/>
      </c>
      <c r="C250" s="34" t="str" cm="1">
        <f t="array" ref="C250">IF(SUMPRODUCT(--('Trial Balance Dump'!C239=All_Accounts_in_XERO))&gt;0,'Trial Balance Dump'!C239,"")</f>
        <v/>
      </c>
      <c r="D250" s="60"/>
      <c r="G250" s="69" t="str">
        <f t="shared" si="3"/>
        <v/>
      </c>
    </row>
    <row r="251" spans="1:7" x14ac:dyDescent="0.4">
      <c r="A251" s="54" t="str" cm="1">
        <f t="array" ref="A251">IF(SUMPRODUCT(--('Trial Balance Dump'!C240=All_Accounts_in_XERO))&gt;0,'Trial Balance Dump'!A240,"")</f>
        <v/>
      </c>
      <c r="B251" s="34" t="str" cm="1">
        <f t="array" ref="B251">IF(SUMPRODUCT(--('Trial Balance Dump'!C240=All_Accounts_in_XERO))&gt;0,'Trial Balance Dump'!B240,"")</f>
        <v/>
      </c>
      <c r="C251" s="34" t="str" cm="1">
        <f t="array" ref="C251">IF(SUMPRODUCT(--('Trial Balance Dump'!C240=All_Accounts_in_XERO))&gt;0,'Trial Balance Dump'!C240,"")</f>
        <v/>
      </c>
      <c r="D251" s="60"/>
      <c r="G251" s="69" t="str">
        <f t="shared" si="3"/>
        <v/>
      </c>
    </row>
    <row r="252" spans="1:7" x14ac:dyDescent="0.4">
      <c r="A252" s="54" t="str" cm="1">
        <f t="array" ref="A252">IF(SUMPRODUCT(--('Trial Balance Dump'!C241=All_Accounts_in_XERO))&gt;0,'Trial Balance Dump'!A241,"")</f>
        <v/>
      </c>
      <c r="B252" s="34" t="str" cm="1">
        <f t="array" ref="B252">IF(SUMPRODUCT(--('Trial Balance Dump'!C241=All_Accounts_in_XERO))&gt;0,'Trial Balance Dump'!B241,"")</f>
        <v/>
      </c>
      <c r="C252" s="34" t="str" cm="1">
        <f t="array" ref="C252">IF(SUMPRODUCT(--('Trial Balance Dump'!C241=All_Accounts_in_XERO))&gt;0,'Trial Balance Dump'!C241,"")</f>
        <v/>
      </c>
      <c r="D252" s="60"/>
      <c r="G252" s="69" t="str">
        <f t="shared" si="3"/>
        <v/>
      </c>
    </row>
    <row r="253" spans="1:7" x14ac:dyDescent="0.4">
      <c r="A253" s="54" t="str" cm="1">
        <f t="array" ref="A253">IF(SUMPRODUCT(--('Trial Balance Dump'!C242=All_Accounts_in_XERO))&gt;0,'Trial Balance Dump'!A242,"")</f>
        <v/>
      </c>
      <c r="B253" s="34" t="str" cm="1">
        <f t="array" ref="B253">IF(SUMPRODUCT(--('Trial Balance Dump'!C242=All_Accounts_in_XERO))&gt;0,'Trial Balance Dump'!B242,"")</f>
        <v/>
      </c>
      <c r="C253" s="34" t="str" cm="1">
        <f t="array" ref="C253">IF(SUMPRODUCT(--('Trial Balance Dump'!C242=All_Accounts_in_XERO))&gt;0,'Trial Balance Dump'!C242,"")</f>
        <v/>
      </c>
      <c r="D253" s="60"/>
      <c r="G253" s="69" t="str">
        <f t="shared" si="3"/>
        <v/>
      </c>
    </row>
    <row r="254" spans="1:7" x14ac:dyDescent="0.4">
      <c r="A254" s="54" t="str" cm="1">
        <f t="array" ref="A254">IF(SUMPRODUCT(--('Trial Balance Dump'!C243=All_Accounts_in_XERO))&gt;0,'Trial Balance Dump'!A243,"")</f>
        <v/>
      </c>
      <c r="B254" s="34" t="str" cm="1">
        <f t="array" ref="B254">IF(SUMPRODUCT(--('Trial Balance Dump'!C243=All_Accounts_in_XERO))&gt;0,'Trial Balance Dump'!B243,"")</f>
        <v/>
      </c>
      <c r="C254" s="34" t="str" cm="1">
        <f t="array" ref="C254">IF(SUMPRODUCT(--('Trial Balance Dump'!C243=All_Accounts_in_XERO))&gt;0,'Trial Balance Dump'!C243,"")</f>
        <v/>
      </c>
      <c r="D254" s="60"/>
      <c r="G254" s="69" t="str">
        <f t="shared" si="3"/>
        <v/>
      </c>
    </row>
    <row r="255" spans="1:7" x14ac:dyDescent="0.4">
      <c r="A255" s="54" t="str" cm="1">
        <f t="array" ref="A255">IF(SUMPRODUCT(--('Trial Balance Dump'!C244=All_Accounts_in_XERO))&gt;0,'Trial Balance Dump'!A244,"")</f>
        <v/>
      </c>
      <c r="B255" s="34" t="str" cm="1">
        <f t="array" ref="B255">IF(SUMPRODUCT(--('Trial Balance Dump'!C244=All_Accounts_in_XERO))&gt;0,'Trial Balance Dump'!B244,"")</f>
        <v/>
      </c>
      <c r="C255" s="34" t="str" cm="1">
        <f t="array" ref="C255">IF(SUMPRODUCT(--('Trial Balance Dump'!C244=All_Accounts_in_XERO))&gt;0,'Trial Balance Dump'!C244,"")</f>
        <v/>
      </c>
      <c r="D255" s="60"/>
      <c r="G255" s="69" t="str">
        <f t="shared" si="3"/>
        <v/>
      </c>
    </row>
    <row r="256" spans="1:7" x14ac:dyDescent="0.4">
      <c r="A256" s="54" t="str" cm="1">
        <f t="array" ref="A256">IF(SUMPRODUCT(--('Trial Balance Dump'!C245=All_Accounts_in_XERO))&gt;0,'Trial Balance Dump'!A245,"")</f>
        <v/>
      </c>
      <c r="B256" s="34" t="str" cm="1">
        <f t="array" ref="B256">IF(SUMPRODUCT(--('Trial Balance Dump'!C245=All_Accounts_in_XERO))&gt;0,'Trial Balance Dump'!B245,"")</f>
        <v/>
      </c>
      <c r="C256" s="34" t="str" cm="1">
        <f t="array" ref="C256">IF(SUMPRODUCT(--('Trial Balance Dump'!C245=All_Accounts_in_XERO))&gt;0,'Trial Balance Dump'!C245,"")</f>
        <v/>
      </c>
      <c r="D256" s="60"/>
      <c r="G256" s="69" t="str">
        <f t="shared" si="3"/>
        <v/>
      </c>
    </row>
    <row r="257" spans="1:7" x14ac:dyDescent="0.4">
      <c r="A257" s="54" t="str" cm="1">
        <f t="array" ref="A257">IF(SUMPRODUCT(--('Trial Balance Dump'!C246=All_Accounts_in_XERO))&gt;0,'Trial Balance Dump'!A246,"")</f>
        <v/>
      </c>
      <c r="B257" s="34" t="str" cm="1">
        <f t="array" ref="B257">IF(SUMPRODUCT(--('Trial Balance Dump'!C246=All_Accounts_in_XERO))&gt;0,'Trial Balance Dump'!B246,"")</f>
        <v/>
      </c>
      <c r="C257" s="34" t="str" cm="1">
        <f t="array" ref="C257">IF(SUMPRODUCT(--('Trial Balance Dump'!C246=All_Accounts_in_XERO))&gt;0,'Trial Balance Dump'!C246,"")</f>
        <v/>
      </c>
      <c r="D257" s="60"/>
      <c r="G257" s="69" t="str">
        <f t="shared" si="3"/>
        <v/>
      </c>
    </row>
    <row r="258" spans="1:7" x14ac:dyDescent="0.4">
      <c r="A258" s="54" t="str" cm="1">
        <f t="array" ref="A258">IF(SUMPRODUCT(--('Trial Balance Dump'!C247=All_Accounts_in_XERO))&gt;0,'Trial Balance Dump'!A247,"")</f>
        <v/>
      </c>
      <c r="B258" s="34" t="str" cm="1">
        <f t="array" ref="B258">IF(SUMPRODUCT(--('Trial Balance Dump'!C247=All_Accounts_in_XERO))&gt;0,'Trial Balance Dump'!B247,"")</f>
        <v/>
      </c>
      <c r="C258" s="34" t="str" cm="1">
        <f t="array" ref="C258">IF(SUMPRODUCT(--('Trial Balance Dump'!C247=All_Accounts_in_XERO))&gt;0,'Trial Balance Dump'!C247,"")</f>
        <v/>
      </c>
      <c r="D258" s="60"/>
      <c r="G258" s="69" t="str">
        <f t="shared" si="3"/>
        <v/>
      </c>
    </row>
    <row r="259" spans="1:7" x14ac:dyDescent="0.4">
      <c r="A259" s="54" t="str" cm="1">
        <f t="array" ref="A259">IF(SUMPRODUCT(--('Trial Balance Dump'!C248=All_Accounts_in_XERO))&gt;0,'Trial Balance Dump'!A248,"")</f>
        <v/>
      </c>
      <c r="B259" s="34" t="str" cm="1">
        <f t="array" ref="B259">IF(SUMPRODUCT(--('Trial Balance Dump'!C248=All_Accounts_in_XERO))&gt;0,'Trial Balance Dump'!B248,"")</f>
        <v/>
      </c>
      <c r="C259" s="34" t="str" cm="1">
        <f t="array" ref="C259">IF(SUMPRODUCT(--('Trial Balance Dump'!C248=All_Accounts_in_XERO))&gt;0,'Trial Balance Dump'!C248,"")</f>
        <v/>
      </c>
      <c r="D259" s="60"/>
      <c r="G259" s="69" t="str">
        <f t="shared" si="3"/>
        <v/>
      </c>
    </row>
    <row r="260" spans="1:7" x14ac:dyDescent="0.4">
      <c r="A260" s="54" t="str" cm="1">
        <f t="array" ref="A260">IF(SUMPRODUCT(--('Trial Balance Dump'!C249=All_Accounts_in_XERO))&gt;0,'Trial Balance Dump'!A249,"")</f>
        <v/>
      </c>
      <c r="B260" s="34" t="str" cm="1">
        <f t="array" ref="B260">IF(SUMPRODUCT(--('Trial Balance Dump'!C249=All_Accounts_in_XERO))&gt;0,'Trial Balance Dump'!B249,"")</f>
        <v/>
      </c>
      <c r="C260" s="34" t="str" cm="1">
        <f t="array" ref="C260">IF(SUMPRODUCT(--('Trial Balance Dump'!C249=All_Accounts_in_XERO))&gt;0,'Trial Balance Dump'!C249,"")</f>
        <v/>
      </c>
      <c r="D260" s="60"/>
      <c r="G260" s="69" t="str">
        <f t="shared" si="3"/>
        <v/>
      </c>
    </row>
    <row r="261" spans="1:7" x14ac:dyDescent="0.4">
      <c r="A261" s="54" t="str" cm="1">
        <f t="array" ref="A261">IF(SUMPRODUCT(--('Trial Balance Dump'!C250=All_Accounts_in_XERO))&gt;0,'Trial Balance Dump'!A250,"")</f>
        <v/>
      </c>
      <c r="B261" s="34" t="str" cm="1">
        <f t="array" ref="B261">IF(SUMPRODUCT(--('Trial Balance Dump'!C250=All_Accounts_in_XERO))&gt;0,'Trial Balance Dump'!B250,"")</f>
        <v/>
      </c>
      <c r="C261" s="34" t="str" cm="1">
        <f t="array" ref="C261">IF(SUMPRODUCT(--('Trial Balance Dump'!C250=All_Accounts_in_XERO))&gt;0,'Trial Balance Dump'!C250,"")</f>
        <v/>
      </c>
      <c r="D261" s="60"/>
      <c r="G261" s="69" t="str">
        <f t="shared" si="3"/>
        <v/>
      </c>
    </row>
    <row r="262" spans="1:7" x14ac:dyDescent="0.4">
      <c r="A262" s="54" t="str" cm="1">
        <f t="array" ref="A262">IF(SUMPRODUCT(--('Trial Balance Dump'!C251=All_Accounts_in_XERO))&gt;0,'Trial Balance Dump'!A251,"")</f>
        <v/>
      </c>
      <c r="B262" s="34" t="str" cm="1">
        <f t="array" ref="B262">IF(SUMPRODUCT(--('Trial Balance Dump'!C251=All_Accounts_in_XERO))&gt;0,'Trial Balance Dump'!B251,"")</f>
        <v/>
      </c>
      <c r="C262" s="34" t="str" cm="1">
        <f t="array" ref="C262">IF(SUMPRODUCT(--('Trial Balance Dump'!C251=All_Accounts_in_XERO))&gt;0,'Trial Balance Dump'!C251,"")</f>
        <v/>
      </c>
      <c r="D262" s="60"/>
      <c r="G262" s="69" t="str">
        <f t="shared" si="3"/>
        <v/>
      </c>
    </row>
    <row r="263" spans="1:7" x14ac:dyDescent="0.4">
      <c r="A263" s="54" t="str" cm="1">
        <f t="array" ref="A263">IF(SUMPRODUCT(--('Trial Balance Dump'!C252=All_Accounts_in_XERO))&gt;0,'Trial Balance Dump'!A252,"")</f>
        <v/>
      </c>
      <c r="B263" s="34" t="str" cm="1">
        <f t="array" ref="B263">IF(SUMPRODUCT(--('Trial Balance Dump'!C252=All_Accounts_in_XERO))&gt;0,'Trial Balance Dump'!B252,"")</f>
        <v/>
      </c>
      <c r="C263" s="34" t="str" cm="1">
        <f t="array" ref="C263">IF(SUMPRODUCT(--('Trial Balance Dump'!C252=All_Accounts_in_XERO))&gt;0,'Trial Balance Dump'!C252,"")</f>
        <v/>
      </c>
      <c r="D263" s="60"/>
      <c r="G263" s="69" t="str">
        <f t="shared" si="3"/>
        <v/>
      </c>
    </row>
    <row r="264" spans="1:7" x14ac:dyDescent="0.4">
      <c r="A264" s="54" t="str" cm="1">
        <f t="array" ref="A264">IF(SUMPRODUCT(--('Trial Balance Dump'!C253=All_Accounts_in_XERO))&gt;0,'Trial Balance Dump'!A253,"")</f>
        <v/>
      </c>
      <c r="B264" s="34" t="str" cm="1">
        <f t="array" ref="B264">IF(SUMPRODUCT(--('Trial Balance Dump'!C253=All_Accounts_in_XERO))&gt;0,'Trial Balance Dump'!B253,"")</f>
        <v/>
      </c>
      <c r="C264" s="34" t="str" cm="1">
        <f t="array" ref="C264">IF(SUMPRODUCT(--('Trial Balance Dump'!C253=All_Accounts_in_XERO))&gt;0,'Trial Balance Dump'!C253,"")</f>
        <v/>
      </c>
      <c r="D264" s="60"/>
      <c r="G264" s="69" t="str">
        <f t="shared" si="3"/>
        <v/>
      </c>
    </row>
    <row r="265" spans="1:7" x14ac:dyDescent="0.4">
      <c r="A265" s="54" t="str" cm="1">
        <f t="array" ref="A265">IF(SUMPRODUCT(--('Trial Balance Dump'!C254=All_Accounts_in_XERO))&gt;0,'Trial Balance Dump'!A254,"")</f>
        <v/>
      </c>
      <c r="B265" s="34" t="str" cm="1">
        <f t="array" ref="B265">IF(SUMPRODUCT(--('Trial Balance Dump'!C254=All_Accounts_in_XERO))&gt;0,'Trial Balance Dump'!B254,"")</f>
        <v/>
      </c>
      <c r="C265" s="34" t="str" cm="1">
        <f t="array" ref="C265">IF(SUMPRODUCT(--('Trial Balance Dump'!C254=All_Accounts_in_XERO))&gt;0,'Trial Balance Dump'!C254,"")</f>
        <v/>
      </c>
      <c r="D265" s="60"/>
      <c r="G265" s="69" t="str">
        <f t="shared" si="3"/>
        <v/>
      </c>
    </row>
    <row r="266" spans="1:7" x14ac:dyDescent="0.4">
      <c r="A266" s="54" t="str" cm="1">
        <f t="array" ref="A266">IF(SUMPRODUCT(--('Trial Balance Dump'!C255=All_Accounts_in_XERO))&gt;0,'Trial Balance Dump'!A255,"")</f>
        <v/>
      </c>
      <c r="B266" s="34" t="str" cm="1">
        <f t="array" ref="B266">IF(SUMPRODUCT(--('Trial Balance Dump'!C255=All_Accounts_in_XERO))&gt;0,'Trial Balance Dump'!B255,"")</f>
        <v/>
      </c>
      <c r="C266" s="34" t="str" cm="1">
        <f t="array" ref="C266">IF(SUMPRODUCT(--('Trial Balance Dump'!C255=All_Accounts_in_XERO))&gt;0,'Trial Balance Dump'!C255,"")</f>
        <v/>
      </c>
      <c r="D266" s="60"/>
      <c r="G266" s="69" t="str">
        <f t="shared" si="3"/>
        <v/>
      </c>
    </row>
    <row r="267" spans="1:7" x14ac:dyDescent="0.4">
      <c r="A267" s="54" t="str" cm="1">
        <f t="array" ref="A267">IF(SUMPRODUCT(--('Trial Balance Dump'!C256=All_Accounts_in_XERO))&gt;0,'Trial Balance Dump'!A256,"")</f>
        <v/>
      </c>
      <c r="B267" s="34" t="str" cm="1">
        <f t="array" ref="B267">IF(SUMPRODUCT(--('Trial Balance Dump'!C256=All_Accounts_in_XERO))&gt;0,'Trial Balance Dump'!B256,"")</f>
        <v/>
      </c>
      <c r="C267" s="34" t="str" cm="1">
        <f t="array" ref="C267">IF(SUMPRODUCT(--('Trial Balance Dump'!C256=All_Accounts_in_XERO))&gt;0,'Trial Balance Dump'!C256,"")</f>
        <v/>
      </c>
      <c r="D267" s="60"/>
      <c r="G267" s="69" t="str">
        <f t="shared" si="3"/>
        <v/>
      </c>
    </row>
    <row r="268" spans="1:7" x14ac:dyDescent="0.4">
      <c r="A268" s="54" t="str" cm="1">
        <f t="array" ref="A268">IF(SUMPRODUCT(--('Trial Balance Dump'!C257=All_Accounts_in_XERO))&gt;0,'Trial Balance Dump'!A257,"")</f>
        <v/>
      </c>
      <c r="B268" s="34" t="str" cm="1">
        <f t="array" ref="B268">IF(SUMPRODUCT(--('Trial Balance Dump'!C257=All_Accounts_in_XERO))&gt;0,'Trial Balance Dump'!B257,"")</f>
        <v/>
      </c>
      <c r="C268" s="34" t="str" cm="1">
        <f t="array" ref="C268">IF(SUMPRODUCT(--('Trial Balance Dump'!C257=All_Accounts_in_XERO))&gt;0,'Trial Balance Dump'!C257,"")</f>
        <v/>
      </c>
      <c r="D268" s="60"/>
      <c r="G268" s="69" t="str">
        <f t="shared" si="3"/>
        <v/>
      </c>
    </row>
    <row r="269" spans="1:7" x14ac:dyDescent="0.4">
      <c r="A269" s="54" t="str" cm="1">
        <f t="array" ref="A269">IF(SUMPRODUCT(--('Trial Balance Dump'!C258=All_Accounts_in_XERO))&gt;0,'Trial Balance Dump'!A258,"")</f>
        <v/>
      </c>
      <c r="B269" s="34" t="str" cm="1">
        <f t="array" ref="B269">IF(SUMPRODUCT(--('Trial Balance Dump'!C258=All_Accounts_in_XERO))&gt;0,'Trial Balance Dump'!B258,"")</f>
        <v/>
      </c>
      <c r="C269" s="34" t="str" cm="1">
        <f t="array" ref="C269">IF(SUMPRODUCT(--('Trial Balance Dump'!C258=All_Accounts_in_XERO))&gt;0,'Trial Balance Dump'!C258,"")</f>
        <v/>
      </c>
      <c r="D269" s="60"/>
      <c r="G269" s="69" t="str">
        <f t="shared" si="3"/>
        <v/>
      </c>
    </row>
    <row r="270" spans="1:7" x14ac:dyDescent="0.4">
      <c r="A270" s="54" t="str" cm="1">
        <f t="array" ref="A270">IF(SUMPRODUCT(--('Trial Balance Dump'!C259=All_Accounts_in_XERO))&gt;0,'Trial Balance Dump'!A259,"")</f>
        <v/>
      </c>
      <c r="B270" s="34" t="str" cm="1">
        <f t="array" ref="B270">IF(SUMPRODUCT(--('Trial Balance Dump'!C259=All_Accounts_in_XERO))&gt;0,'Trial Balance Dump'!B259,"")</f>
        <v/>
      </c>
      <c r="C270" s="34" t="str" cm="1">
        <f t="array" ref="C270">IF(SUMPRODUCT(--('Trial Balance Dump'!C259=All_Accounts_in_XERO))&gt;0,'Trial Balance Dump'!C259,"")</f>
        <v/>
      </c>
      <c r="D270" s="60"/>
      <c r="G270" s="69" t="str">
        <f t="shared" si="3"/>
        <v/>
      </c>
    </row>
    <row r="271" spans="1:7" x14ac:dyDescent="0.4">
      <c r="A271" s="54" t="str" cm="1">
        <f t="array" ref="A271">IF(SUMPRODUCT(--('Trial Balance Dump'!C260=All_Accounts_in_XERO))&gt;0,'Trial Balance Dump'!A260,"")</f>
        <v/>
      </c>
      <c r="B271" s="34" t="str" cm="1">
        <f t="array" ref="B271">IF(SUMPRODUCT(--('Trial Balance Dump'!C260=All_Accounts_in_XERO))&gt;0,'Trial Balance Dump'!B260,"")</f>
        <v/>
      </c>
      <c r="C271" s="34" t="str" cm="1">
        <f t="array" ref="C271">IF(SUMPRODUCT(--('Trial Balance Dump'!C260=All_Accounts_in_XERO))&gt;0,'Trial Balance Dump'!C260,"")</f>
        <v/>
      </c>
      <c r="D271" s="60"/>
      <c r="G271" s="69" t="str">
        <f t="shared" si="3"/>
        <v/>
      </c>
    </row>
    <row r="272" spans="1:7" x14ac:dyDescent="0.4">
      <c r="A272" s="54" t="str" cm="1">
        <f t="array" ref="A272">IF(SUMPRODUCT(--('Trial Balance Dump'!C261=All_Accounts_in_XERO))&gt;0,'Trial Balance Dump'!A261,"")</f>
        <v/>
      </c>
      <c r="B272" s="34" t="str" cm="1">
        <f t="array" ref="B272">IF(SUMPRODUCT(--('Trial Balance Dump'!C261=All_Accounts_in_XERO))&gt;0,'Trial Balance Dump'!B261,"")</f>
        <v/>
      </c>
      <c r="C272" s="34" t="str" cm="1">
        <f t="array" ref="C272">IF(SUMPRODUCT(--('Trial Balance Dump'!C261=All_Accounts_in_XERO))&gt;0,'Trial Balance Dump'!C261,"")</f>
        <v/>
      </c>
      <c r="D272" s="60"/>
      <c r="G272" s="69" t="str">
        <f t="shared" si="3"/>
        <v/>
      </c>
    </row>
    <row r="273" spans="1:7" x14ac:dyDescent="0.4">
      <c r="A273" s="54" t="str" cm="1">
        <f t="array" ref="A273">IF(SUMPRODUCT(--('Trial Balance Dump'!C262=All_Accounts_in_XERO))&gt;0,'Trial Balance Dump'!A262,"")</f>
        <v/>
      </c>
      <c r="B273" s="34" t="str" cm="1">
        <f t="array" ref="B273">IF(SUMPRODUCT(--('Trial Balance Dump'!C262=All_Accounts_in_XERO))&gt;0,'Trial Balance Dump'!B262,"")</f>
        <v/>
      </c>
      <c r="C273" s="34" t="str" cm="1">
        <f t="array" ref="C273">IF(SUMPRODUCT(--('Trial Balance Dump'!C262=All_Accounts_in_XERO))&gt;0,'Trial Balance Dump'!C262,"")</f>
        <v/>
      </c>
      <c r="D273" s="60"/>
      <c r="G273" s="69" t="str">
        <f t="shared" si="3"/>
        <v/>
      </c>
    </row>
    <row r="274" spans="1:7" x14ac:dyDescent="0.4">
      <c r="A274" s="54" t="str" cm="1">
        <f t="array" ref="A274">IF(SUMPRODUCT(--('Trial Balance Dump'!C263=All_Accounts_in_XERO))&gt;0,'Trial Balance Dump'!A263,"")</f>
        <v/>
      </c>
      <c r="B274" s="34" t="str" cm="1">
        <f t="array" ref="B274">IF(SUMPRODUCT(--('Trial Balance Dump'!C263=All_Accounts_in_XERO))&gt;0,'Trial Balance Dump'!B263,"")</f>
        <v/>
      </c>
      <c r="C274" s="34" t="str" cm="1">
        <f t="array" ref="C274">IF(SUMPRODUCT(--('Trial Balance Dump'!C263=All_Accounts_in_XERO))&gt;0,'Trial Balance Dump'!C263,"")</f>
        <v/>
      </c>
      <c r="D274" s="60"/>
      <c r="G274" s="69" t="str">
        <f t="shared" ref="G274:G323" si="4">IF(ISNA(VLOOKUP(E274, I:K, 3, FALSE)), "", IF(VLOOKUP(E274, I:K, 3, FALSE) = "", "", IF(F274 = VLOOKUP(E274, I:K, 3, FALSE), "✓", "")))</f>
        <v/>
      </c>
    </row>
    <row r="275" spans="1:7" x14ac:dyDescent="0.4">
      <c r="A275" s="54" t="str" cm="1">
        <f t="array" ref="A275">IF(SUMPRODUCT(--('Trial Balance Dump'!C264=All_Accounts_in_XERO))&gt;0,'Trial Balance Dump'!A264,"")</f>
        <v/>
      </c>
      <c r="B275" s="34" t="str" cm="1">
        <f t="array" ref="B275">IF(SUMPRODUCT(--('Trial Balance Dump'!C264=All_Accounts_in_XERO))&gt;0,'Trial Balance Dump'!B264,"")</f>
        <v/>
      </c>
      <c r="C275" s="34" t="str" cm="1">
        <f t="array" ref="C275">IF(SUMPRODUCT(--('Trial Balance Dump'!C264=All_Accounts_in_XERO))&gt;0,'Trial Balance Dump'!C264,"")</f>
        <v/>
      </c>
      <c r="D275" s="60"/>
      <c r="G275" s="69" t="str">
        <f t="shared" si="4"/>
        <v/>
      </c>
    </row>
    <row r="276" spans="1:7" x14ac:dyDescent="0.4">
      <c r="A276" s="54" t="str" cm="1">
        <f t="array" ref="A276">IF(SUMPRODUCT(--('Trial Balance Dump'!C265=All_Accounts_in_XERO))&gt;0,'Trial Balance Dump'!A265,"")</f>
        <v/>
      </c>
      <c r="B276" s="34" t="str" cm="1">
        <f t="array" ref="B276">IF(SUMPRODUCT(--('Trial Balance Dump'!C265=All_Accounts_in_XERO))&gt;0,'Trial Balance Dump'!B265,"")</f>
        <v/>
      </c>
      <c r="C276" s="34" t="str" cm="1">
        <f t="array" ref="C276">IF(SUMPRODUCT(--('Trial Balance Dump'!C265=All_Accounts_in_XERO))&gt;0,'Trial Balance Dump'!C265,"")</f>
        <v/>
      </c>
      <c r="D276" s="60"/>
      <c r="G276" s="69" t="str">
        <f t="shared" si="4"/>
        <v/>
      </c>
    </row>
    <row r="277" spans="1:7" x14ac:dyDescent="0.4">
      <c r="A277" s="54" t="str" cm="1">
        <f t="array" ref="A277">IF(SUMPRODUCT(--('Trial Balance Dump'!C266=All_Accounts_in_XERO))&gt;0,'Trial Balance Dump'!A266,"")</f>
        <v/>
      </c>
      <c r="B277" s="34" t="str" cm="1">
        <f t="array" ref="B277">IF(SUMPRODUCT(--('Trial Balance Dump'!C266=All_Accounts_in_XERO))&gt;0,'Trial Balance Dump'!B266,"")</f>
        <v/>
      </c>
      <c r="C277" s="34" t="str" cm="1">
        <f t="array" ref="C277">IF(SUMPRODUCT(--('Trial Balance Dump'!C266=All_Accounts_in_XERO))&gt;0,'Trial Balance Dump'!C266,"")</f>
        <v/>
      </c>
      <c r="D277" s="60"/>
      <c r="G277" s="69" t="str">
        <f t="shared" si="4"/>
        <v/>
      </c>
    </row>
    <row r="278" spans="1:7" x14ac:dyDescent="0.4">
      <c r="A278" s="54" t="str" cm="1">
        <f t="array" ref="A278">IF(SUMPRODUCT(--('Trial Balance Dump'!C267=All_Accounts_in_XERO))&gt;0,'Trial Balance Dump'!A267,"")</f>
        <v/>
      </c>
      <c r="B278" s="34" t="str" cm="1">
        <f t="array" ref="B278">IF(SUMPRODUCT(--('Trial Balance Dump'!C267=All_Accounts_in_XERO))&gt;0,'Trial Balance Dump'!B267,"")</f>
        <v/>
      </c>
      <c r="C278" s="34" t="str" cm="1">
        <f t="array" ref="C278">IF(SUMPRODUCT(--('Trial Balance Dump'!C267=All_Accounts_in_XERO))&gt;0,'Trial Balance Dump'!C267,"")</f>
        <v/>
      </c>
      <c r="D278" s="60"/>
      <c r="G278" s="69" t="str">
        <f t="shared" si="4"/>
        <v/>
      </c>
    </row>
    <row r="279" spans="1:7" x14ac:dyDescent="0.4">
      <c r="A279" s="54" t="str" cm="1">
        <f t="array" ref="A279">IF(SUMPRODUCT(--('Trial Balance Dump'!C268=All_Accounts_in_XERO))&gt;0,'Trial Balance Dump'!A268,"")</f>
        <v/>
      </c>
      <c r="B279" s="34" t="str" cm="1">
        <f t="array" ref="B279">IF(SUMPRODUCT(--('Trial Balance Dump'!C268=All_Accounts_in_XERO))&gt;0,'Trial Balance Dump'!B268,"")</f>
        <v/>
      </c>
      <c r="C279" s="34" t="str" cm="1">
        <f t="array" ref="C279">IF(SUMPRODUCT(--('Trial Balance Dump'!C268=All_Accounts_in_XERO))&gt;0,'Trial Balance Dump'!C268,"")</f>
        <v/>
      </c>
      <c r="D279" s="60"/>
      <c r="G279" s="69" t="str">
        <f t="shared" si="4"/>
        <v/>
      </c>
    </row>
    <row r="280" spans="1:7" x14ac:dyDescent="0.4">
      <c r="A280" s="54" t="str" cm="1">
        <f t="array" ref="A280">IF(SUMPRODUCT(--('Trial Balance Dump'!C269=All_Accounts_in_XERO))&gt;0,'Trial Balance Dump'!A269,"")</f>
        <v/>
      </c>
      <c r="B280" s="34" t="str" cm="1">
        <f t="array" ref="B280">IF(SUMPRODUCT(--('Trial Balance Dump'!C269=All_Accounts_in_XERO))&gt;0,'Trial Balance Dump'!B269,"")</f>
        <v/>
      </c>
      <c r="C280" s="34" t="str" cm="1">
        <f t="array" ref="C280">IF(SUMPRODUCT(--('Trial Balance Dump'!C269=All_Accounts_in_XERO))&gt;0,'Trial Balance Dump'!C269,"")</f>
        <v/>
      </c>
      <c r="D280" s="60"/>
      <c r="G280" s="69" t="str">
        <f t="shared" si="4"/>
        <v/>
      </c>
    </row>
    <row r="281" spans="1:7" x14ac:dyDescent="0.4">
      <c r="A281" s="54" t="str" cm="1">
        <f t="array" ref="A281">IF(SUMPRODUCT(--('Trial Balance Dump'!C270=All_Accounts_in_XERO))&gt;0,'Trial Balance Dump'!A270,"")</f>
        <v/>
      </c>
      <c r="B281" s="34" t="str" cm="1">
        <f t="array" ref="B281">IF(SUMPRODUCT(--('Trial Balance Dump'!C270=All_Accounts_in_XERO))&gt;0,'Trial Balance Dump'!B270,"")</f>
        <v/>
      </c>
      <c r="C281" s="34" t="str" cm="1">
        <f t="array" ref="C281">IF(SUMPRODUCT(--('Trial Balance Dump'!C270=All_Accounts_in_XERO))&gt;0,'Trial Balance Dump'!C270,"")</f>
        <v/>
      </c>
      <c r="D281" s="60"/>
      <c r="G281" s="69" t="str">
        <f t="shared" si="4"/>
        <v/>
      </c>
    </row>
    <row r="282" spans="1:7" x14ac:dyDescent="0.4">
      <c r="A282" s="54" t="str" cm="1">
        <f t="array" ref="A282">IF(SUMPRODUCT(--('Trial Balance Dump'!C271=All_Accounts_in_XERO))&gt;0,'Trial Balance Dump'!A271,"")</f>
        <v/>
      </c>
      <c r="B282" s="34" t="str" cm="1">
        <f t="array" ref="B282">IF(SUMPRODUCT(--('Trial Balance Dump'!C271=All_Accounts_in_XERO))&gt;0,'Trial Balance Dump'!B271,"")</f>
        <v/>
      </c>
      <c r="C282" s="34" t="str" cm="1">
        <f t="array" ref="C282">IF(SUMPRODUCT(--('Trial Balance Dump'!C271=All_Accounts_in_XERO))&gt;0,'Trial Balance Dump'!C271,"")</f>
        <v/>
      </c>
      <c r="D282" s="60"/>
      <c r="G282" s="69" t="str">
        <f t="shared" si="4"/>
        <v/>
      </c>
    </row>
    <row r="283" spans="1:7" x14ac:dyDescent="0.4">
      <c r="A283" s="54" t="str" cm="1">
        <f t="array" ref="A283">IF(SUMPRODUCT(--('Trial Balance Dump'!C272=All_Accounts_in_XERO))&gt;0,'Trial Balance Dump'!A272,"")</f>
        <v/>
      </c>
      <c r="B283" s="34" t="str" cm="1">
        <f t="array" ref="B283">IF(SUMPRODUCT(--('Trial Balance Dump'!C272=All_Accounts_in_XERO))&gt;0,'Trial Balance Dump'!B272,"")</f>
        <v/>
      </c>
      <c r="C283" s="34" t="str" cm="1">
        <f t="array" ref="C283">IF(SUMPRODUCT(--('Trial Balance Dump'!C272=All_Accounts_in_XERO))&gt;0,'Trial Balance Dump'!C272,"")</f>
        <v/>
      </c>
      <c r="D283" s="60"/>
      <c r="G283" s="69" t="str">
        <f t="shared" si="4"/>
        <v/>
      </c>
    </row>
    <row r="284" spans="1:7" x14ac:dyDescent="0.4">
      <c r="A284" s="54" t="str" cm="1">
        <f t="array" ref="A284">IF(SUMPRODUCT(--('Trial Balance Dump'!C273=All_Accounts_in_XERO))&gt;0,'Trial Balance Dump'!A273,"")</f>
        <v/>
      </c>
      <c r="B284" s="34" t="str" cm="1">
        <f t="array" ref="B284">IF(SUMPRODUCT(--('Trial Balance Dump'!C273=All_Accounts_in_XERO))&gt;0,'Trial Balance Dump'!B273,"")</f>
        <v/>
      </c>
      <c r="C284" s="34" t="str" cm="1">
        <f t="array" ref="C284">IF(SUMPRODUCT(--('Trial Balance Dump'!C273=All_Accounts_in_XERO))&gt;0,'Trial Balance Dump'!C273,"")</f>
        <v/>
      </c>
      <c r="D284" s="60"/>
      <c r="G284" s="69" t="str">
        <f t="shared" si="4"/>
        <v/>
      </c>
    </row>
    <row r="285" spans="1:7" x14ac:dyDescent="0.4">
      <c r="A285" s="54" t="str" cm="1">
        <f t="array" ref="A285">IF(SUMPRODUCT(--('Trial Balance Dump'!C274=All_Accounts_in_XERO))&gt;0,'Trial Balance Dump'!A274,"")</f>
        <v/>
      </c>
      <c r="B285" s="34" t="str" cm="1">
        <f t="array" ref="B285">IF(SUMPRODUCT(--('Trial Balance Dump'!C274=All_Accounts_in_XERO))&gt;0,'Trial Balance Dump'!B274,"")</f>
        <v/>
      </c>
      <c r="C285" s="34" t="str" cm="1">
        <f t="array" ref="C285">IF(SUMPRODUCT(--('Trial Balance Dump'!C274=All_Accounts_in_XERO))&gt;0,'Trial Balance Dump'!C274,"")</f>
        <v/>
      </c>
      <c r="D285" s="60"/>
      <c r="G285" s="69" t="str">
        <f t="shared" si="4"/>
        <v/>
      </c>
    </row>
    <row r="286" spans="1:7" x14ac:dyDescent="0.4">
      <c r="A286" s="54" t="str" cm="1">
        <f t="array" ref="A286">IF(SUMPRODUCT(--('Trial Balance Dump'!C275=All_Accounts_in_XERO))&gt;0,'Trial Balance Dump'!A275,"")</f>
        <v/>
      </c>
      <c r="B286" s="34" t="str" cm="1">
        <f t="array" ref="B286">IF(SUMPRODUCT(--('Trial Balance Dump'!C275=All_Accounts_in_XERO))&gt;0,'Trial Balance Dump'!B275,"")</f>
        <v/>
      </c>
      <c r="C286" s="34" t="str" cm="1">
        <f t="array" ref="C286">IF(SUMPRODUCT(--('Trial Balance Dump'!C275=All_Accounts_in_XERO))&gt;0,'Trial Balance Dump'!C275,"")</f>
        <v/>
      </c>
      <c r="D286" s="60"/>
      <c r="G286" s="69" t="str">
        <f t="shared" si="4"/>
        <v/>
      </c>
    </row>
    <row r="287" spans="1:7" x14ac:dyDescent="0.4">
      <c r="A287" s="54" t="str" cm="1">
        <f t="array" ref="A287">IF(SUMPRODUCT(--('Trial Balance Dump'!C276=All_Accounts_in_XERO))&gt;0,'Trial Balance Dump'!A276,"")</f>
        <v/>
      </c>
      <c r="B287" s="34" t="str" cm="1">
        <f t="array" ref="B287">IF(SUMPRODUCT(--('Trial Balance Dump'!C276=All_Accounts_in_XERO))&gt;0,'Trial Balance Dump'!B276,"")</f>
        <v/>
      </c>
      <c r="C287" s="34" t="str" cm="1">
        <f t="array" ref="C287">IF(SUMPRODUCT(--('Trial Balance Dump'!C276=All_Accounts_in_XERO))&gt;0,'Trial Balance Dump'!C276,"")</f>
        <v/>
      </c>
      <c r="D287" s="60"/>
      <c r="G287" s="69" t="str">
        <f t="shared" si="4"/>
        <v/>
      </c>
    </row>
    <row r="288" spans="1:7" x14ac:dyDescent="0.4">
      <c r="A288" s="54" t="str" cm="1">
        <f t="array" ref="A288">IF(SUMPRODUCT(--('Trial Balance Dump'!C277=All_Accounts_in_XERO))&gt;0,'Trial Balance Dump'!A277,"")</f>
        <v/>
      </c>
      <c r="B288" s="34" t="str" cm="1">
        <f t="array" ref="B288">IF(SUMPRODUCT(--('Trial Balance Dump'!C277=All_Accounts_in_XERO))&gt;0,'Trial Balance Dump'!B277,"")</f>
        <v/>
      </c>
      <c r="C288" s="34" t="str" cm="1">
        <f t="array" ref="C288">IF(SUMPRODUCT(--('Trial Balance Dump'!C277=All_Accounts_in_XERO))&gt;0,'Trial Balance Dump'!C277,"")</f>
        <v/>
      </c>
      <c r="D288" s="60"/>
      <c r="G288" s="69" t="str">
        <f t="shared" si="4"/>
        <v/>
      </c>
    </row>
    <row r="289" spans="1:7" x14ac:dyDescent="0.4">
      <c r="A289" s="54" t="str" cm="1">
        <f t="array" ref="A289">IF(SUMPRODUCT(--('Trial Balance Dump'!C278=All_Accounts_in_XERO))&gt;0,'Trial Balance Dump'!A278,"")</f>
        <v/>
      </c>
      <c r="B289" s="34" t="str" cm="1">
        <f t="array" ref="B289">IF(SUMPRODUCT(--('Trial Balance Dump'!C278=All_Accounts_in_XERO))&gt;0,'Trial Balance Dump'!B278,"")</f>
        <v/>
      </c>
      <c r="C289" s="34" t="str" cm="1">
        <f t="array" ref="C289">IF(SUMPRODUCT(--('Trial Balance Dump'!C278=All_Accounts_in_XERO))&gt;0,'Trial Balance Dump'!C278,"")</f>
        <v/>
      </c>
      <c r="D289" s="60"/>
      <c r="G289" s="69" t="str">
        <f t="shared" si="4"/>
        <v/>
      </c>
    </row>
    <row r="290" spans="1:7" x14ac:dyDescent="0.4">
      <c r="A290" s="54" t="str" cm="1">
        <f t="array" ref="A290">IF(SUMPRODUCT(--('Trial Balance Dump'!C279=All_Accounts_in_XERO))&gt;0,'Trial Balance Dump'!A279,"")</f>
        <v/>
      </c>
      <c r="B290" s="34" t="str" cm="1">
        <f t="array" ref="B290">IF(SUMPRODUCT(--('Trial Balance Dump'!C279=All_Accounts_in_XERO))&gt;0,'Trial Balance Dump'!B279,"")</f>
        <v/>
      </c>
      <c r="C290" s="34" t="str" cm="1">
        <f t="array" ref="C290">IF(SUMPRODUCT(--('Trial Balance Dump'!C279=All_Accounts_in_XERO))&gt;0,'Trial Balance Dump'!C279,"")</f>
        <v/>
      </c>
      <c r="D290" s="60"/>
      <c r="G290" s="69" t="str">
        <f t="shared" si="4"/>
        <v/>
      </c>
    </row>
    <row r="291" spans="1:7" x14ac:dyDescent="0.4">
      <c r="A291" s="54" t="str" cm="1">
        <f t="array" ref="A291">IF(SUMPRODUCT(--('Trial Balance Dump'!C280=All_Accounts_in_XERO))&gt;0,'Trial Balance Dump'!A280,"")</f>
        <v/>
      </c>
      <c r="B291" s="34" t="str" cm="1">
        <f t="array" ref="B291">IF(SUMPRODUCT(--('Trial Balance Dump'!C280=All_Accounts_in_XERO))&gt;0,'Trial Balance Dump'!B280,"")</f>
        <v/>
      </c>
      <c r="C291" s="34" t="str" cm="1">
        <f t="array" ref="C291">IF(SUMPRODUCT(--('Trial Balance Dump'!C280=All_Accounts_in_XERO))&gt;0,'Trial Balance Dump'!C280,"")</f>
        <v/>
      </c>
      <c r="D291" s="60"/>
      <c r="G291" s="69" t="str">
        <f t="shared" si="4"/>
        <v/>
      </c>
    </row>
    <row r="292" spans="1:7" x14ac:dyDescent="0.4">
      <c r="A292" s="54" t="str" cm="1">
        <f t="array" ref="A292">IF(SUMPRODUCT(--('Trial Balance Dump'!C281=All_Accounts_in_XERO))&gt;0,'Trial Balance Dump'!A281,"")</f>
        <v/>
      </c>
      <c r="B292" s="34" t="str" cm="1">
        <f t="array" ref="B292">IF(SUMPRODUCT(--('Trial Balance Dump'!C281=All_Accounts_in_XERO))&gt;0,'Trial Balance Dump'!B281,"")</f>
        <v/>
      </c>
      <c r="C292" s="34" t="str" cm="1">
        <f t="array" ref="C292">IF(SUMPRODUCT(--('Trial Balance Dump'!C281=All_Accounts_in_XERO))&gt;0,'Trial Balance Dump'!C281,"")</f>
        <v/>
      </c>
      <c r="D292" s="60"/>
      <c r="G292" s="69" t="str">
        <f t="shared" si="4"/>
        <v/>
      </c>
    </row>
    <row r="293" spans="1:7" x14ac:dyDescent="0.4">
      <c r="A293" s="54" t="str" cm="1">
        <f t="array" ref="A293">IF(SUMPRODUCT(--('Trial Balance Dump'!C282=All_Accounts_in_XERO))&gt;0,'Trial Balance Dump'!A282,"")</f>
        <v/>
      </c>
      <c r="B293" s="34" t="str" cm="1">
        <f t="array" ref="B293">IF(SUMPRODUCT(--('Trial Balance Dump'!C282=All_Accounts_in_XERO))&gt;0,'Trial Balance Dump'!B282,"")</f>
        <v/>
      </c>
      <c r="C293" s="34" t="str" cm="1">
        <f t="array" ref="C293">IF(SUMPRODUCT(--('Trial Balance Dump'!C282=All_Accounts_in_XERO))&gt;0,'Trial Balance Dump'!C282,"")</f>
        <v/>
      </c>
      <c r="D293" s="60"/>
      <c r="G293" s="69" t="str">
        <f t="shared" si="4"/>
        <v/>
      </c>
    </row>
    <row r="294" spans="1:7" x14ac:dyDescent="0.4">
      <c r="A294" s="54" t="str" cm="1">
        <f t="array" ref="A294">IF(SUMPRODUCT(--('Trial Balance Dump'!C283=All_Accounts_in_XERO))&gt;0,'Trial Balance Dump'!A283,"")</f>
        <v/>
      </c>
      <c r="B294" s="34" t="str" cm="1">
        <f t="array" ref="B294">IF(SUMPRODUCT(--('Trial Balance Dump'!C283=All_Accounts_in_XERO))&gt;0,'Trial Balance Dump'!B283,"")</f>
        <v/>
      </c>
      <c r="C294" s="34" t="str" cm="1">
        <f t="array" ref="C294">IF(SUMPRODUCT(--('Trial Balance Dump'!C283=All_Accounts_in_XERO))&gt;0,'Trial Balance Dump'!C283,"")</f>
        <v/>
      </c>
      <c r="D294" s="60"/>
      <c r="G294" s="69" t="str">
        <f t="shared" si="4"/>
        <v/>
      </c>
    </row>
    <row r="295" spans="1:7" x14ac:dyDescent="0.4">
      <c r="A295" s="54" t="str" cm="1">
        <f t="array" ref="A295">IF(SUMPRODUCT(--('Trial Balance Dump'!C284=All_Accounts_in_XERO))&gt;0,'Trial Balance Dump'!A284,"")</f>
        <v/>
      </c>
      <c r="B295" s="34" t="str" cm="1">
        <f t="array" ref="B295">IF(SUMPRODUCT(--('Trial Balance Dump'!C284=All_Accounts_in_XERO))&gt;0,'Trial Balance Dump'!B284,"")</f>
        <v/>
      </c>
      <c r="C295" s="34" t="str" cm="1">
        <f t="array" ref="C295">IF(SUMPRODUCT(--('Trial Balance Dump'!C284=All_Accounts_in_XERO))&gt;0,'Trial Balance Dump'!C284,"")</f>
        <v/>
      </c>
      <c r="D295" s="60"/>
      <c r="G295" s="69" t="str">
        <f t="shared" si="4"/>
        <v/>
      </c>
    </row>
    <row r="296" spans="1:7" x14ac:dyDescent="0.4">
      <c r="A296" s="54" t="str" cm="1">
        <f t="array" ref="A296">IF(SUMPRODUCT(--('Trial Balance Dump'!C285=All_Accounts_in_XERO))&gt;0,'Trial Balance Dump'!A285,"")</f>
        <v/>
      </c>
      <c r="B296" s="34" t="str" cm="1">
        <f t="array" ref="B296">IF(SUMPRODUCT(--('Trial Balance Dump'!C285=All_Accounts_in_XERO))&gt;0,'Trial Balance Dump'!B285,"")</f>
        <v/>
      </c>
      <c r="C296" s="34" t="str" cm="1">
        <f t="array" ref="C296">IF(SUMPRODUCT(--('Trial Balance Dump'!C285=All_Accounts_in_XERO))&gt;0,'Trial Balance Dump'!C285,"")</f>
        <v/>
      </c>
      <c r="D296" s="60"/>
      <c r="G296" s="69" t="str">
        <f t="shared" si="4"/>
        <v/>
      </c>
    </row>
    <row r="297" spans="1:7" x14ac:dyDescent="0.4">
      <c r="A297" s="54" t="str" cm="1">
        <f t="array" ref="A297">IF(SUMPRODUCT(--('Trial Balance Dump'!C286=All_Accounts_in_XERO))&gt;0,'Trial Balance Dump'!A286,"")</f>
        <v/>
      </c>
      <c r="B297" s="34" t="str" cm="1">
        <f t="array" ref="B297">IF(SUMPRODUCT(--('Trial Balance Dump'!C286=All_Accounts_in_XERO))&gt;0,'Trial Balance Dump'!B286,"")</f>
        <v/>
      </c>
      <c r="C297" s="34" t="str" cm="1">
        <f t="array" ref="C297">IF(SUMPRODUCT(--('Trial Balance Dump'!C286=All_Accounts_in_XERO))&gt;0,'Trial Balance Dump'!C286,"")</f>
        <v/>
      </c>
      <c r="D297" s="60"/>
      <c r="G297" s="69" t="str">
        <f t="shared" si="4"/>
        <v/>
      </c>
    </row>
    <row r="298" spans="1:7" x14ac:dyDescent="0.4">
      <c r="A298" s="54" t="str" cm="1">
        <f t="array" ref="A298">IF(SUMPRODUCT(--('Trial Balance Dump'!C287=All_Accounts_in_XERO))&gt;0,'Trial Balance Dump'!A287,"")</f>
        <v/>
      </c>
      <c r="B298" s="34" t="str" cm="1">
        <f t="array" ref="B298">IF(SUMPRODUCT(--('Trial Balance Dump'!C287=All_Accounts_in_XERO))&gt;0,'Trial Balance Dump'!B287,"")</f>
        <v/>
      </c>
      <c r="C298" s="34" t="str" cm="1">
        <f t="array" ref="C298">IF(SUMPRODUCT(--('Trial Balance Dump'!C287=All_Accounts_in_XERO))&gt;0,'Trial Balance Dump'!C287,"")</f>
        <v/>
      </c>
      <c r="D298" s="60"/>
      <c r="G298" s="69" t="str">
        <f t="shared" si="4"/>
        <v/>
      </c>
    </row>
    <row r="299" spans="1:7" x14ac:dyDescent="0.4">
      <c r="A299" s="54" t="str" cm="1">
        <f t="array" ref="A299">IF(SUMPRODUCT(--('Trial Balance Dump'!C288=All_Accounts_in_XERO))&gt;0,'Trial Balance Dump'!A288,"")</f>
        <v/>
      </c>
      <c r="B299" s="34" t="str" cm="1">
        <f t="array" ref="B299">IF(SUMPRODUCT(--('Trial Balance Dump'!C288=All_Accounts_in_XERO))&gt;0,'Trial Balance Dump'!B288,"")</f>
        <v/>
      </c>
      <c r="C299" s="34" t="str" cm="1">
        <f t="array" ref="C299">IF(SUMPRODUCT(--('Trial Balance Dump'!C288=All_Accounts_in_XERO))&gt;0,'Trial Balance Dump'!C288,"")</f>
        <v/>
      </c>
      <c r="D299" s="60"/>
      <c r="G299" s="69" t="str">
        <f t="shared" si="4"/>
        <v/>
      </c>
    </row>
    <row r="300" spans="1:7" x14ac:dyDescent="0.4">
      <c r="A300" s="54" t="str" cm="1">
        <f t="array" ref="A300">IF(SUMPRODUCT(--('Trial Balance Dump'!C289=All_Accounts_in_XERO))&gt;0,'Trial Balance Dump'!A289,"")</f>
        <v/>
      </c>
      <c r="B300" s="34" t="str" cm="1">
        <f t="array" ref="B300">IF(SUMPRODUCT(--('Trial Balance Dump'!C289=All_Accounts_in_XERO))&gt;0,'Trial Balance Dump'!B289,"")</f>
        <v/>
      </c>
      <c r="C300" s="34" t="str" cm="1">
        <f t="array" ref="C300">IF(SUMPRODUCT(--('Trial Balance Dump'!C289=All_Accounts_in_XERO))&gt;0,'Trial Balance Dump'!C289,"")</f>
        <v/>
      </c>
      <c r="D300" s="60"/>
      <c r="G300" s="69" t="str">
        <f t="shared" si="4"/>
        <v/>
      </c>
    </row>
    <row r="301" spans="1:7" x14ac:dyDescent="0.4">
      <c r="A301" s="54" t="str" cm="1">
        <f t="array" ref="A301">IF(SUMPRODUCT(--('Trial Balance Dump'!C290=All_Accounts_in_XERO))&gt;0,'Trial Balance Dump'!A290,"")</f>
        <v/>
      </c>
      <c r="B301" s="34" t="str" cm="1">
        <f t="array" ref="B301">IF(SUMPRODUCT(--('Trial Balance Dump'!C290=All_Accounts_in_XERO))&gt;0,'Trial Balance Dump'!B290,"")</f>
        <v/>
      </c>
      <c r="C301" s="34" t="str" cm="1">
        <f t="array" ref="C301">IF(SUMPRODUCT(--('Trial Balance Dump'!C290=All_Accounts_in_XERO))&gt;0,'Trial Balance Dump'!C290,"")</f>
        <v/>
      </c>
      <c r="D301" s="60"/>
      <c r="G301" s="69" t="str">
        <f t="shared" si="4"/>
        <v/>
      </c>
    </row>
    <row r="302" spans="1:7" x14ac:dyDescent="0.4">
      <c r="A302" s="54" t="str" cm="1">
        <f t="array" ref="A302">IF(SUMPRODUCT(--('Trial Balance Dump'!C291=All_Accounts_in_XERO))&gt;0,'Trial Balance Dump'!A291,"")</f>
        <v/>
      </c>
      <c r="B302" s="34" t="str" cm="1">
        <f t="array" ref="B302">IF(SUMPRODUCT(--('Trial Balance Dump'!C291=All_Accounts_in_XERO))&gt;0,'Trial Balance Dump'!B291,"")</f>
        <v/>
      </c>
      <c r="C302" s="34" t="str" cm="1">
        <f t="array" ref="C302">IF(SUMPRODUCT(--('Trial Balance Dump'!C291=All_Accounts_in_XERO))&gt;0,'Trial Balance Dump'!C291,"")</f>
        <v/>
      </c>
      <c r="D302" s="60"/>
      <c r="G302" s="69" t="str">
        <f t="shared" si="4"/>
        <v/>
      </c>
    </row>
    <row r="303" spans="1:7" x14ac:dyDescent="0.4">
      <c r="A303" s="54" t="str" cm="1">
        <f t="array" ref="A303">IF(SUMPRODUCT(--('Trial Balance Dump'!C292=All_Accounts_in_XERO))&gt;0,'Trial Balance Dump'!A292,"")</f>
        <v/>
      </c>
      <c r="B303" s="34" t="str" cm="1">
        <f t="array" ref="B303">IF(SUMPRODUCT(--('Trial Balance Dump'!C292=All_Accounts_in_XERO))&gt;0,'Trial Balance Dump'!B292,"")</f>
        <v/>
      </c>
      <c r="C303" s="34" t="str" cm="1">
        <f t="array" ref="C303">IF(SUMPRODUCT(--('Trial Balance Dump'!C292=All_Accounts_in_XERO))&gt;0,'Trial Balance Dump'!C292,"")</f>
        <v/>
      </c>
      <c r="D303" s="60"/>
      <c r="G303" s="69" t="str">
        <f t="shared" si="4"/>
        <v/>
      </c>
    </row>
    <row r="304" spans="1:7" x14ac:dyDescent="0.4">
      <c r="A304" s="54" t="str" cm="1">
        <f t="array" ref="A304">IF(SUMPRODUCT(--('Trial Balance Dump'!C293=All_Accounts_in_XERO))&gt;0,'Trial Balance Dump'!A293,"")</f>
        <v/>
      </c>
      <c r="B304" s="34" t="str" cm="1">
        <f t="array" ref="B304">IF(SUMPRODUCT(--('Trial Balance Dump'!C293=All_Accounts_in_XERO))&gt;0,'Trial Balance Dump'!B293,"")</f>
        <v/>
      </c>
      <c r="C304" s="34" t="str" cm="1">
        <f t="array" ref="C304">IF(SUMPRODUCT(--('Trial Balance Dump'!C293=All_Accounts_in_XERO))&gt;0,'Trial Balance Dump'!C293,"")</f>
        <v/>
      </c>
      <c r="D304" s="60"/>
      <c r="G304" s="69" t="str">
        <f t="shared" si="4"/>
        <v/>
      </c>
    </row>
    <row r="305" spans="1:7" x14ac:dyDescent="0.4">
      <c r="A305" s="54" t="str" cm="1">
        <f t="array" ref="A305">IF(SUMPRODUCT(--('Trial Balance Dump'!C294=All_Accounts_in_XERO))&gt;0,'Trial Balance Dump'!A294,"")</f>
        <v/>
      </c>
      <c r="B305" s="34" t="str" cm="1">
        <f t="array" ref="B305">IF(SUMPRODUCT(--('Trial Balance Dump'!C294=All_Accounts_in_XERO))&gt;0,'Trial Balance Dump'!B294,"")</f>
        <v/>
      </c>
      <c r="C305" s="34" t="str" cm="1">
        <f t="array" ref="C305">IF(SUMPRODUCT(--('Trial Balance Dump'!C294=All_Accounts_in_XERO))&gt;0,'Trial Balance Dump'!C294,"")</f>
        <v/>
      </c>
      <c r="D305" s="60"/>
      <c r="G305" s="69" t="str">
        <f t="shared" si="4"/>
        <v/>
      </c>
    </row>
    <row r="306" spans="1:7" x14ac:dyDescent="0.4">
      <c r="A306" s="54" t="str" cm="1">
        <f t="array" ref="A306">IF(SUMPRODUCT(--('Trial Balance Dump'!C295=All_Accounts_in_XERO))&gt;0,'Trial Balance Dump'!A295,"")</f>
        <v/>
      </c>
      <c r="B306" s="34" t="str" cm="1">
        <f t="array" ref="B306">IF(SUMPRODUCT(--('Trial Balance Dump'!C295=All_Accounts_in_XERO))&gt;0,'Trial Balance Dump'!B295,"")</f>
        <v/>
      </c>
      <c r="C306" s="34" t="str" cm="1">
        <f t="array" ref="C306">IF(SUMPRODUCT(--('Trial Balance Dump'!C295=All_Accounts_in_XERO))&gt;0,'Trial Balance Dump'!C295,"")</f>
        <v/>
      </c>
      <c r="D306" s="60"/>
      <c r="G306" s="69" t="str">
        <f t="shared" si="4"/>
        <v/>
      </c>
    </row>
    <row r="307" spans="1:7" x14ac:dyDescent="0.4">
      <c r="A307" s="54" t="str" cm="1">
        <f t="array" ref="A307">IF(SUMPRODUCT(--('Trial Balance Dump'!C296=All_Accounts_in_XERO))&gt;0,'Trial Balance Dump'!A296,"")</f>
        <v/>
      </c>
      <c r="B307" s="34" t="str" cm="1">
        <f t="array" ref="B307">IF(SUMPRODUCT(--('Trial Balance Dump'!C296=All_Accounts_in_XERO))&gt;0,'Trial Balance Dump'!B296,"")</f>
        <v/>
      </c>
      <c r="C307" s="34" t="str" cm="1">
        <f t="array" ref="C307">IF(SUMPRODUCT(--('Trial Balance Dump'!C296=All_Accounts_in_XERO))&gt;0,'Trial Balance Dump'!C296,"")</f>
        <v/>
      </c>
      <c r="D307" s="60"/>
      <c r="G307" s="69" t="str">
        <f t="shared" si="4"/>
        <v/>
      </c>
    </row>
    <row r="308" spans="1:7" x14ac:dyDescent="0.4">
      <c r="A308" s="54" t="str" cm="1">
        <f t="array" ref="A308">IF(SUMPRODUCT(--('Trial Balance Dump'!C297=All_Accounts_in_XERO))&gt;0,'Trial Balance Dump'!A297,"")</f>
        <v/>
      </c>
      <c r="B308" s="34" t="str" cm="1">
        <f t="array" ref="B308">IF(SUMPRODUCT(--('Trial Balance Dump'!C297=All_Accounts_in_XERO))&gt;0,'Trial Balance Dump'!B297,"")</f>
        <v/>
      </c>
      <c r="C308" s="34" t="str" cm="1">
        <f t="array" ref="C308">IF(SUMPRODUCT(--('Trial Balance Dump'!C297=All_Accounts_in_XERO))&gt;0,'Trial Balance Dump'!C297,"")</f>
        <v/>
      </c>
      <c r="D308" s="60"/>
      <c r="G308" s="69" t="str">
        <f t="shared" si="4"/>
        <v/>
      </c>
    </row>
    <row r="309" spans="1:7" x14ac:dyDescent="0.4">
      <c r="A309" s="54" t="str" cm="1">
        <f t="array" ref="A309">IF(SUMPRODUCT(--('Trial Balance Dump'!C298=All_Accounts_in_XERO))&gt;0,'Trial Balance Dump'!A298,"")</f>
        <v/>
      </c>
      <c r="B309" s="34" t="str" cm="1">
        <f t="array" ref="B309">IF(SUMPRODUCT(--('Trial Balance Dump'!C298=All_Accounts_in_XERO))&gt;0,'Trial Balance Dump'!B298,"")</f>
        <v/>
      </c>
      <c r="C309" s="34" t="str" cm="1">
        <f t="array" ref="C309">IF(SUMPRODUCT(--('Trial Balance Dump'!C298=All_Accounts_in_XERO))&gt;0,'Trial Balance Dump'!C298,"")</f>
        <v/>
      </c>
      <c r="D309" s="60"/>
      <c r="G309" s="69" t="str">
        <f t="shared" si="4"/>
        <v/>
      </c>
    </row>
    <row r="310" spans="1:7" x14ac:dyDescent="0.4">
      <c r="A310" s="54" t="str" cm="1">
        <f t="array" ref="A310">IF(SUMPRODUCT(--('Trial Balance Dump'!C299=All_Accounts_in_XERO))&gt;0,'Trial Balance Dump'!A299,"")</f>
        <v/>
      </c>
      <c r="B310" s="34" t="str" cm="1">
        <f t="array" ref="B310">IF(SUMPRODUCT(--('Trial Balance Dump'!C299=All_Accounts_in_XERO))&gt;0,'Trial Balance Dump'!B299,"")</f>
        <v/>
      </c>
      <c r="C310" s="34" t="str" cm="1">
        <f t="array" ref="C310">IF(SUMPRODUCT(--('Trial Balance Dump'!C299=All_Accounts_in_XERO))&gt;0,'Trial Balance Dump'!C299,"")</f>
        <v/>
      </c>
      <c r="D310" s="60"/>
      <c r="G310" s="69" t="str">
        <f t="shared" si="4"/>
        <v/>
      </c>
    </row>
    <row r="311" spans="1:7" x14ac:dyDescent="0.4">
      <c r="A311" s="54" t="str" cm="1">
        <f t="array" ref="A311">IF(SUMPRODUCT(--('Trial Balance Dump'!C300=All_Accounts_in_XERO))&gt;0,'Trial Balance Dump'!A300,"")</f>
        <v/>
      </c>
      <c r="B311" s="34" t="str" cm="1">
        <f t="array" ref="B311">IF(SUMPRODUCT(--('Trial Balance Dump'!C300=All_Accounts_in_XERO))&gt;0,'Trial Balance Dump'!B300,"")</f>
        <v/>
      </c>
      <c r="C311" s="34" t="str" cm="1">
        <f t="array" ref="C311">IF(SUMPRODUCT(--('Trial Balance Dump'!C300=All_Accounts_in_XERO))&gt;0,'Trial Balance Dump'!C300,"")</f>
        <v/>
      </c>
      <c r="D311" s="60"/>
      <c r="G311" s="69" t="str">
        <f t="shared" si="4"/>
        <v/>
      </c>
    </row>
    <row r="312" spans="1:7" x14ac:dyDescent="0.4">
      <c r="A312" s="54" t="str" cm="1">
        <f t="array" ref="A312">IF(SUMPRODUCT(--('Trial Balance Dump'!C301=All_Accounts_in_XERO))&gt;0,'Trial Balance Dump'!A301,"")</f>
        <v/>
      </c>
      <c r="B312" s="34" t="str" cm="1">
        <f t="array" ref="B312">IF(SUMPRODUCT(--('Trial Balance Dump'!C301=All_Accounts_in_XERO))&gt;0,'Trial Balance Dump'!B301,"")</f>
        <v/>
      </c>
      <c r="C312" s="34" t="str" cm="1">
        <f t="array" ref="C312">IF(SUMPRODUCT(--('Trial Balance Dump'!C301=All_Accounts_in_XERO))&gt;0,'Trial Balance Dump'!C301,"")</f>
        <v/>
      </c>
      <c r="D312" s="60"/>
      <c r="G312" s="69" t="str">
        <f t="shared" si="4"/>
        <v/>
      </c>
    </row>
    <row r="313" spans="1:7" x14ac:dyDescent="0.4">
      <c r="A313" s="54" t="str" cm="1">
        <f t="array" ref="A313">IF(SUMPRODUCT(--('Trial Balance Dump'!C302=All_Accounts_in_XERO))&gt;0,'Trial Balance Dump'!A302,"")</f>
        <v/>
      </c>
      <c r="B313" s="34" t="str" cm="1">
        <f t="array" ref="B313">IF(SUMPRODUCT(--('Trial Balance Dump'!C302=All_Accounts_in_XERO))&gt;0,'Trial Balance Dump'!B302,"")</f>
        <v/>
      </c>
      <c r="C313" s="34" t="str" cm="1">
        <f t="array" ref="C313">IF(SUMPRODUCT(--('Trial Balance Dump'!C302=All_Accounts_in_XERO))&gt;0,'Trial Balance Dump'!C302,"")</f>
        <v/>
      </c>
      <c r="D313" s="60"/>
      <c r="G313" s="69" t="str">
        <f t="shared" si="4"/>
        <v/>
      </c>
    </row>
    <row r="314" spans="1:7" x14ac:dyDescent="0.4">
      <c r="A314" s="54" t="str" cm="1">
        <f t="array" ref="A314">IF(SUMPRODUCT(--('Trial Balance Dump'!C303=All_Accounts_in_XERO))&gt;0,'Trial Balance Dump'!A303,"")</f>
        <v/>
      </c>
      <c r="B314" s="34" t="str" cm="1">
        <f t="array" ref="B314">IF(SUMPRODUCT(--('Trial Balance Dump'!C303=All_Accounts_in_XERO))&gt;0,'Trial Balance Dump'!B303,"")</f>
        <v/>
      </c>
      <c r="C314" s="34" t="str" cm="1">
        <f t="array" ref="C314">IF(SUMPRODUCT(--('Trial Balance Dump'!C303=All_Accounts_in_XERO))&gt;0,'Trial Balance Dump'!C303,"")</f>
        <v/>
      </c>
      <c r="D314" s="60"/>
      <c r="G314" s="69" t="str">
        <f t="shared" si="4"/>
        <v/>
      </c>
    </row>
    <row r="315" spans="1:7" x14ac:dyDescent="0.4">
      <c r="A315" s="54" t="str" cm="1">
        <f t="array" ref="A315">IF(SUMPRODUCT(--('Trial Balance Dump'!C304=All_Accounts_in_XERO))&gt;0,'Trial Balance Dump'!A304,"")</f>
        <v/>
      </c>
      <c r="B315" s="34" t="str" cm="1">
        <f t="array" ref="B315">IF(SUMPRODUCT(--('Trial Balance Dump'!C304=All_Accounts_in_XERO))&gt;0,'Trial Balance Dump'!B304,"")</f>
        <v/>
      </c>
      <c r="C315" s="34" t="str" cm="1">
        <f t="array" ref="C315">IF(SUMPRODUCT(--('Trial Balance Dump'!C304=All_Accounts_in_XERO))&gt;0,'Trial Balance Dump'!C304,"")</f>
        <v/>
      </c>
      <c r="D315" s="60"/>
      <c r="G315" s="69" t="str">
        <f t="shared" si="4"/>
        <v/>
      </c>
    </row>
    <row r="316" spans="1:7" x14ac:dyDescent="0.4">
      <c r="A316" s="54" t="str" cm="1">
        <f t="array" ref="A316">IF(SUMPRODUCT(--('Trial Balance Dump'!C305=All_Accounts_in_XERO))&gt;0,'Trial Balance Dump'!A305,"")</f>
        <v/>
      </c>
      <c r="B316" s="34" t="str" cm="1">
        <f t="array" ref="B316">IF(SUMPRODUCT(--('Trial Balance Dump'!C305=All_Accounts_in_XERO))&gt;0,'Trial Balance Dump'!B305,"")</f>
        <v/>
      </c>
      <c r="C316" s="34" t="str" cm="1">
        <f t="array" ref="C316">IF(SUMPRODUCT(--('Trial Balance Dump'!C305=All_Accounts_in_XERO))&gt;0,'Trial Balance Dump'!C305,"")</f>
        <v/>
      </c>
      <c r="D316" s="60"/>
      <c r="G316" s="69" t="str">
        <f t="shared" si="4"/>
        <v/>
      </c>
    </row>
    <row r="317" spans="1:7" x14ac:dyDescent="0.4">
      <c r="A317" s="54" t="str" cm="1">
        <f t="array" ref="A317">IF(SUMPRODUCT(--('Trial Balance Dump'!C306=All_Accounts_in_XERO))&gt;0,'Trial Balance Dump'!A306,"")</f>
        <v/>
      </c>
      <c r="B317" s="34" t="str" cm="1">
        <f t="array" ref="B317">IF(SUMPRODUCT(--('Trial Balance Dump'!C306=All_Accounts_in_XERO))&gt;0,'Trial Balance Dump'!B306,"")</f>
        <v/>
      </c>
      <c r="C317" s="34" t="str" cm="1">
        <f t="array" ref="C317">IF(SUMPRODUCT(--('Trial Balance Dump'!C306=All_Accounts_in_XERO))&gt;0,'Trial Balance Dump'!C306,"")</f>
        <v/>
      </c>
      <c r="D317" s="60"/>
      <c r="G317" s="69" t="str">
        <f t="shared" si="4"/>
        <v/>
      </c>
    </row>
    <row r="318" spans="1:7" x14ac:dyDescent="0.4">
      <c r="A318" s="54" t="str" cm="1">
        <f t="array" ref="A318">IF(SUMPRODUCT(--('Trial Balance Dump'!C307=All_Accounts_in_XERO))&gt;0,'Trial Balance Dump'!A307,"")</f>
        <v/>
      </c>
      <c r="B318" s="34" t="str" cm="1">
        <f t="array" ref="B318">IF(SUMPRODUCT(--('Trial Balance Dump'!C307=All_Accounts_in_XERO))&gt;0,'Trial Balance Dump'!B307,"")</f>
        <v/>
      </c>
      <c r="C318" s="34" t="str" cm="1">
        <f t="array" ref="C318">IF(SUMPRODUCT(--('Trial Balance Dump'!C307=All_Accounts_in_XERO))&gt;0,'Trial Balance Dump'!C307,"")</f>
        <v/>
      </c>
      <c r="D318" s="60"/>
      <c r="G318" s="69" t="str">
        <f t="shared" si="4"/>
        <v/>
      </c>
    </row>
    <row r="319" spans="1:7" x14ac:dyDescent="0.4">
      <c r="A319" s="54" t="str" cm="1">
        <f t="array" ref="A319">IF(SUMPRODUCT(--('Trial Balance Dump'!C308=All_Accounts_in_XERO))&gt;0,'Trial Balance Dump'!A308,"")</f>
        <v/>
      </c>
      <c r="B319" s="34" t="str" cm="1">
        <f t="array" ref="B319">IF(SUMPRODUCT(--('Trial Balance Dump'!C308=All_Accounts_in_XERO))&gt;0,'Trial Balance Dump'!B308,"")</f>
        <v/>
      </c>
      <c r="C319" s="34" t="str" cm="1">
        <f t="array" ref="C319">IF(SUMPRODUCT(--('Trial Balance Dump'!C308=All_Accounts_in_XERO))&gt;0,'Trial Balance Dump'!C308,"")</f>
        <v/>
      </c>
      <c r="D319" s="60"/>
      <c r="G319" s="69" t="str">
        <f t="shared" si="4"/>
        <v/>
      </c>
    </row>
    <row r="320" spans="1:7" x14ac:dyDescent="0.4">
      <c r="A320" s="54" t="str" cm="1">
        <f t="array" ref="A320">IF(SUMPRODUCT(--('Trial Balance Dump'!C309=All_Accounts_in_XERO))&gt;0,'Trial Balance Dump'!A309,"")</f>
        <v/>
      </c>
      <c r="B320" s="34" t="str" cm="1">
        <f t="array" ref="B320">IF(SUMPRODUCT(--('Trial Balance Dump'!C309=All_Accounts_in_XERO))&gt;0,'Trial Balance Dump'!B309,"")</f>
        <v/>
      </c>
      <c r="C320" s="34" t="str" cm="1">
        <f t="array" ref="C320">IF(SUMPRODUCT(--('Trial Balance Dump'!C309=All_Accounts_in_XERO))&gt;0,'Trial Balance Dump'!C309,"")</f>
        <v/>
      </c>
      <c r="D320" s="60"/>
      <c r="G320" s="69" t="str">
        <f t="shared" si="4"/>
        <v/>
      </c>
    </row>
    <row r="321" spans="1:7" x14ac:dyDescent="0.4">
      <c r="A321" s="54" t="str" cm="1">
        <f t="array" ref="A321">IF(SUMPRODUCT(--('Trial Balance Dump'!C310=All_Accounts_in_XERO))&gt;0,'Trial Balance Dump'!A310,"")</f>
        <v/>
      </c>
      <c r="B321" s="34" t="str" cm="1">
        <f t="array" ref="B321">IF(SUMPRODUCT(--('Trial Balance Dump'!C310=All_Accounts_in_XERO))&gt;0,'Trial Balance Dump'!B310,"")</f>
        <v/>
      </c>
      <c r="C321" s="34" t="str" cm="1">
        <f t="array" ref="C321">IF(SUMPRODUCT(--('Trial Balance Dump'!C310=All_Accounts_in_XERO))&gt;0,'Trial Balance Dump'!C310,"")</f>
        <v/>
      </c>
      <c r="D321" s="60"/>
      <c r="G321" s="69" t="str">
        <f t="shared" si="4"/>
        <v/>
      </c>
    </row>
    <row r="322" spans="1:7" x14ac:dyDescent="0.4">
      <c r="A322" s="54" t="str" cm="1">
        <f t="array" ref="A322">IF(SUMPRODUCT(--('Trial Balance Dump'!C311=All_Accounts_in_XERO))&gt;0,'Trial Balance Dump'!A311,"")</f>
        <v/>
      </c>
      <c r="B322" s="34" t="str" cm="1">
        <f t="array" ref="B322">IF(SUMPRODUCT(--('Trial Balance Dump'!C311=All_Accounts_in_XERO))&gt;0,'Trial Balance Dump'!B311,"")</f>
        <v/>
      </c>
      <c r="C322" s="34" t="str" cm="1">
        <f t="array" ref="C322">IF(SUMPRODUCT(--('Trial Balance Dump'!C311=All_Accounts_in_XERO))&gt;0,'Trial Balance Dump'!C311,"")</f>
        <v/>
      </c>
      <c r="D322" s="60"/>
      <c r="G322" s="69" t="str">
        <f t="shared" si="4"/>
        <v/>
      </c>
    </row>
    <row r="323" spans="1:7" x14ac:dyDescent="0.4">
      <c r="A323" s="54" t="str" cm="1">
        <f t="array" ref="A323">IF(SUMPRODUCT(--('Trial Balance Dump'!C312=All_Accounts_in_XERO))&gt;0,'Trial Balance Dump'!A312,"")</f>
        <v/>
      </c>
      <c r="B323" s="34" t="str" cm="1">
        <f t="array" ref="B323">IF(SUMPRODUCT(--('Trial Balance Dump'!C312=All_Accounts_in_XERO))&gt;0,'Trial Balance Dump'!B312,"")</f>
        <v/>
      </c>
      <c r="C323" s="34" t="str" cm="1">
        <f t="array" ref="C323">IF(SUMPRODUCT(--('Trial Balance Dump'!C312=All_Accounts_in_XERO))&gt;0,'Trial Balance Dump'!C312,"")</f>
        <v/>
      </c>
      <c r="D323" s="60"/>
      <c r="G323" s="69" t="str">
        <f t="shared" si="4"/>
        <v/>
      </c>
    </row>
    <row r="324" spans="1:7" x14ac:dyDescent="0.4">
      <c r="A324" s="54"/>
      <c r="B324" s="34"/>
      <c r="C324" s="34"/>
      <c r="D324" s="72"/>
    </row>
    <row r="325" spans="1:7" x14ac:dyDescent="0.4">
      <c r="A325" s="54"/>
      <c r="B325" s="34"/>
      <c r="C325" s="34"/>
      <c r="D325" s="72"/>
    </row>
    <row r="326" spans="1:7" x14ac:dyDescent="0.4">
      <c r="A326" s="54"/>
      <c r="B326" s="34"/>
      <c r="C326" s="34"/>
      <c r="D326" s="72"/>
    </row>
    <row r="327" spans="1:7" x14ac:dyDescent="0.4">
      <c r="A327" s="34"/>
      <c r="B327" s="34"/>
      <c r="C327" s="34"/>
      <c r="D327" s="72"/>
    </row>
    <row r="328" spans="1:7" x14ac:dyDescent="0.4">
      <c r="A328" s="34"/>
      <c r="B328" s="34"/>
      <c r="C328" s="34"/>
      <c r="D328" s="72"/>
    </row>
    <row r="329" spans="1:7" x14ac:dyDescent="0.4">
      <c r="A329" s="34"/>
      <c r="B329" s="34"/>
      <c r="C329" s="34"/>
      <c r="D329" s="72"/>
    </row>
    <row r="330" spans="1:7" x14ac:dyDescent="0.4">
      <c r="A330" s="34"/>
      <c r="B330" s="34"/>
      <c r="C330" s="34"/>
      <c r="D330" s="72"/>
    </row>
    <row r="331" spans="1:7" x14ac:dyDescent="0.4">
      <c r="A331" s="34"/>
      <c r="B331" s="34"/>
      <c r="C331" s="34"/>
      <c r="D331" s="72"/>
    </row>
    <row r="332" spans="1:7" x14ac:dyDescent="0.4">
      <c r="A332" s="34"/>
      <c r="B332" s="34"/>
      <c r="C332" s="34"/>
      <c r="D332" s="72"/>
    </row>
    <row r="333" spans="1:7" x14ac:dyDescent="0.4">
      <c r="A333" s="34"/>
      <c r="B333" s="34"/>
      <c r="C333" s="34"/>
      <c r="D333" s="72"/>
    </row>
    <row r="334" spans="1:7" x14ac:dyDescent="0.4">
      <c r="A334" s="34"/>
      <c r="B334" s="34"/>
      <c r="C334" s="34"/>
      <c r="D334" s="72"/>
    </row>
  </sheetData>
  <phoneticPr fontId="19" type="noConversion"/>
  <conditionalFormatting sqref="A7:B7 A1:A3 A5">
    <cfRule type="duplicateValues" dxfId="8" priority="75"/>
  </conditionalFormatting>
  <conditionalFormatting sqref="K16 E16:F16 H16:I16">
    <cfRule type="duplicateValues" dxfId="7" priority="5"/>
  </conditionalFormatting>
  <conditionalFormatting sqref="I16 E16">
    <cfRule type="duplicateValues" dxfId="6" priority="6"/>
  </conditionalFormatting>
  <conditionalFormatting sqref="E16">
    <cfRule type="duplicateValues" dxfId="5" priority="4"/>
  </conditionalFormatting>
  <conditionalFormatting sqref="E12:E15">
    <cfRule type="duplicateValues" dxfId="4" priority="80"/>
  </conditionalFormatting>
  <conditionalFormatting sqref="I1:I15 E12:E15">
    <cfRule type="duplicateValues" dxfId="3" priority="81"/>
  </conditionalFormatting>
  <conditionalFormatting sqref="I1:I1048576 E1:E1048576">
    <cfRule type="duplicateValues" dxfId="2" priority="3"/>
  </conditionalFormatting>
  <conditionalFormatting sqref="F18:F1048576 K33:K1048576 K29:K31">
    <cfRule type="duplicateValues" dxfId="1" priority="2"/>
  </conditionalFormatting>
  <conditionalFormatting sqref="F17:F1048576 F1:F3 K33:K1048576 K17:K31 K1:K3">
    <cfRule type="duplicateValues" dxfId="0" priority="1"/>
  </conditionalFormatting>
  <dataValidations count="2">
    <dataValidation type="list" allowBlank="1" showInputMessage="1" showErrorMessage="1" sqref="G2" xr:uid="{19AA7C97-332C-49CC-B691-6446AB33BD85}">
      <formula1>"35 South Pty,test123,test2,testac,testac-copy"</formula1>
    </dataValidation>
    <dataValidation type="list" allowBlank="1" showInputMessage="1" showErrorMessage="1" sqref="M8:M11 G8:G11" xr:uid="{9C150FB3-C09F-465F-B4E6-BCAA05D7579F}">
      <formula1>"35 South Pty,test123,test2,testac"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2033" r:id="rId3" name="Button 1">
              <controlPr defaultSize="0" print="0" autoFill="0" autoPict="0" macro="[0]!StartProcess">
                <anchor moveWithCells="1" sizeWithCells="1">
                  <from>
                    <xdr:col>1</xdr:col>
                    <xdr:colOff>47625</xdr:colOff>
                    <xdr:row>3</xdr:row>
                    <xdr:rowOff>19050</xdr:rowOff>
                  </from>
                  <to>
                    <xdr:col>1</xdr:col>
                    <xdr:colOff>1714500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38" r:id="rId4" name="Button 6">
              <controlPr defaultSize="0" print="0" autoFill="0" autoPict="0" macro="[0]!UpdateLinksInColumnE">
                <anchor moveWithCells="1" sizeWithCells="1">
                  <from>
                    <xdr:col>1</xdr:col>
                    <xdr:colOff>47625</xdr:colOff>
                    <xdr:row>5</xdr:row>
                    <xdr:rowOff>57150</xdr:rowOff>
                  </from>
                  <to>
                    <xdr:col>1</xdr:col>
                    <xdr:colOff>1743075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40" r:id="rId5" name="Button 8">
              <controlPr defaultSize="0" print="0" autoFill="0" autoPict="0" macro="[0]!ToggleColumnsGHJ">
                <anchor moveWithCells="1" sizeWithCells="1">
                  <from>
                    <xdr:col>5</xdr:col>
                    <xdr:colOff>400050</xdr:colOff>
                    <xdr:row>3</xdr:row>
                    <xdr:rowOff>38100</xdr:rowOff>
                  </from>
                  <to>
                    <xdr:col>5</xdr:col>
                    <xdr:colOff>1504950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35D9422-E46E-4BD7-9B91-996201D44660}">
          <x14:formula1>
            <xm:f>'Linked Cell Reference &amp; Char Re'!$G$4:$G$27</xm:f>
          </x14:formula1>
          <xm:sqref>D17:D325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1BAEFB-2500-499C-9DCF-E51D93A39B2F}">
  <sheetPr codeName="Sheet12" filterMode="1"/>
  <dimension ref="A1:FR437"/>
  <sheetViews>
    <sheetView zoomScale="80" zoomScaleNormal="55" workbookViewId="0">
      <selection activeCell="D17" sqref="D17"/>
    </sheetView>
  </sheetViews>
  <sheetFormatPr defaultColWidth="9" defaultRowHeight="15" x14ac:dyDescent="0.4"/>
  <cols>
    <col min="1" max="1" width="10" style="2" customWidth="1"/>
    <col min="2" max="2" width="15.796875" style="2" bestFit="1" customWidth="1"/>
    <col min="3" max="3" width="58.19921875" style="2" customWidth="1"/>
    <col min="4" max="4" width="13.86328125" style="2" customWidth="1"/>
    <col min="5" max="5" width="23.73046875" style="2" customWidth="1"/>
    <col min="6" max="6" width="4.59765625" style="2" customWidth="1"/>
    <col min="7" max="7" width="9" style="9" hidden="1" customWidth="1"/>
    <col min="8" max="8" width="13.3984375" style="25" customWidth="1"/>
    <col min="9" max="9" width="21.73046875" style="25" customWidth="1"/>
    <col min="10" max="174" width="9" style="31"/>
    <col min="175" max="16384" width="9" style="2"/>
  </cols>
  <sheetData>
    <row r="1" spans="1:174" s="1" customFormat="1" ht="16.149999999999999" customHeight="1" x14ac:dyDescent="0.45">
      <c r="A1" s="11" t="s">
        <v>11</v>
      </c>
      <c r="E1" s="10"/>
      <c r="F1" s="5"/>
      <c r="G1" s="8"/>
      <c r="H1" s="29"/>
      <c r="I1" s="29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  <c r="AI1" s="27"/>
      <c r="AJ1" s="27"/>
      <c r="AK1" s="27"/>
      <c r="AL1" s="27"/>
      <c r="AM1" s="27"/>
      <c r="AN1" s="27"/>
      <c r="AO1" s="27"/>
      <c r="AP1" s="27"/>
      <c r="AQ1" s="27"/>
      <c r="AR1" s="27"/>
      <c r="AS1" s="27"/>
      <c r="AT1" s="27"/>
      <c r="AU1" s="27"/>
      <c r="AV1" s="27"/>
      <c r="AW1" s="27"/>
      <c r="AX1" s="27"/>
      <c r="AY1" s="27"/>
      <c r="AZ1" s="27"/>
      <c r="BA1" s="27"/>
      <c r="BB1" s="27"/>
      <c r="BC1" s="27"/>
      <c r="BD1" s="27"/>
      <c r="BE1" s="27"/>
      <c r="BF1" s="27"/>
      <c r="BG1" s="27"/>
      <c r="BH1" s="27"/>
      <c r="BI1" s="27"/>
      <c r="BJ1" s="27"/>
      <c r="BK1" s="27"/>
      <c r="BL1" s="27"/>
      <c r="BM1" s="27"/>
      <c r="BN1" s="27"/>
      <c r="BO1" s="27"/>
      <c r="BP1" s="27"/>
      <c r="BQ1" s="27"/>
      <c r="BR1" s="27"/>
      <c r="BS1" s="27"/>
      <c r="BT1" s="27"/>
      <c r="BU1" s="27"/>
      <c r="BV1" s="27"/>
      <c r="BW1" s="27"/>
      <c r="BX1" s="27"/>
      <c r="BY1" s="27"/>
      <c r="BZ1" s="27"/>
      <c r="CA1" s="27"/>
      <c r="CB1" s="27"/>
      <c r="CC1" s="27"/>
      <c r="CD1" s="27"/>
      <c r="CE1" s="27"/>
      <c r="CF1" s="27"/>
      <c r="CG1" s="27"/>
      <c r="CH1" s="27"/>
      <c r="CI1" s="27"/>
      <c r="CJ1" s="27"/>
      <c r="CK1" s="27"/>
      <c r="CL1" s="27"/>
      <c r="CM1" s="27"/>
      <c r="CN1" s="27"/>
      <c r="CO1" s="27"/>
      <c r="CP1" s="27"/>
      <c r="CQ1" s="27"/>
      <c r="CR1" s="27"/>
      <c r="CS1" s="27"/>
      <c r="CT1" s="27"/>
      <c r="CU1" s="27"/>
      <c r="CV1" s="27"/>
      <c r="CW1" s="27"/>
      <c r="CX1" s="27"/>
      <c r="CY1" s="27"/>
      <c r="CZ1" s="27"/>
      <c r="DA1" s="27"/>
      <c r="DB1" s="27"/>
      <c r="DC1" s="27"/>
      <c r="DD1" s="27"/>
      <c r="DE1" s="27"/>
      <c r="DF1" s="27"/>
      <c r="DG1" s="27"/>
      <c r="DH1" s="27"/>
      <c r="DI1" s="27"/>
      <c r="DJ1" s="27"/>
      <c r="DK1" s="27"/>
      <c r="DL1" s="27"/>
      <c r="DM1" s="27"/>
      <c r="DN1" s="27"/>
      <c r="DO1" s="27"/>
      <c r="DP1" s="27"/>
      <c r="DQ1" s="27"/>
      <c r="DR1" s="27"/>
      <c r="DS1" s="27"/>
      <c r="DT1" s="27"/>
      <c r="DU1" s="27"/>
      <c r="DV1" s="27"/>
      <c r="DW1" s="27"/>
      <c r="DX1" s="27"/>
      <c r="DY1" s="27"/>
      <c r="DZ1" s="27"/>
      <c r="EA1" s="27"/>
      <c r="EB1" s="27"/>
      <c r="EC1" s="27"/>
      <c r="ED1" s="27"/>
      <c r="EE1" s="27"/>
      <c r="EF1" s="27"/>
      <c r="EG1" s="27"/>
      <c r="EH1" s="27"/>
      <c r="EI1" s="27"/>
      <c r="EJ1" s="27"/>
      <c r="EK1" s="27"/>
      <c r="EL1" s="27"/>
      <c r="EM1" s="27"/>
      <c r="EN1" s="27"/>
      <c r="EO1" s="27"/>
      <c r="EP1" s="27"/>
      <c r="EQ1" s="27"/>
      <c r="ER1" s="27"/>
      <c r="ES1" s="27"/>
      <c r="ET1" s="27"/>
      <c r="EU1" s="27"/>
      <c r="EV1" s="27"/>
      <c r="EW1" s="27"/>
      <c r="EX1" s="27"/>
      <c r="EY1" s="27"/>
      <c r="EZ1" s="27"/>
      <c r="FA1" s="27"/>
      <c r="FB1" s="27"/>
      <c r="FC1" s="27"/>
      <c r="FD1" s="27"/>
      <c r="FE1" s="27"/>
      <c r="FF1" s="27"/>
      <c r="FG1" s="27"/>
      <c r="FH1" s="27"/>
      <c r="FI1" s="27"/>
      <c r="FJ1" s="27"/>
      <c r="FK1" s="27"/>
      <c r="FL1" s="27"/>
      <c r="FM1" s="27"/>
      <c r="FN1" s="27"/>
      <c r="FO1" s="27"/>
      <c r="FP1" s="27"/>
      <c r="FQ1" s="27"/>
      <c r="FR1" s="27"/>
    </row>
    <row r="2" spans="1:174" s="1" customFormat="1" ht="29.25" customHeight="1" x14ac:dyDescent="0.6">
      <c r="A2" s="13" t="s">
        <v>16</v>
      </c>
      <c r="B2" s="13"/>
      <c r="C2" s="13"/>
      <c r="D2" s="19"/>
      <c r="E2" s="19"/>
      <c r="F2" s="5"/>
      <c r="G2" s="8"/>
      <c r="H2" s="29"/>
      <c r="I2" s="29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P2" s="27"/>
      <c r="AQ2" s="27"/>
      <c r="AR2" s="27"/>
      <c r="AS2" s="27"/>
      <c r="AT2" s="27"/>
      <c r="AU2" s="27"/>
      <c r="AV2" s="27"/>
      <c r="AW2" s="27"/>
      <c r="AX2" s="27"/>
      <c r="AY2" s="27"/>
      <c r="AZ2" s="27"/>
      <c r="BA2" s="27"/>
      <c r="BB2" s="27"/>
      <c r="BC2" s="27"/>
      <c r="BD2" s="27"/>
      <c r="BE2" s="27"/>
      <c r="BF2" s="27"/>
      <c r="BG2" s="27"/>
      <c r="BH2" s="27"/>
      <c r="BI2" s="27"/>
      <c r="BJ2" s="27"/>
      <c r="BK2" s="27"/>
      <c r="BL2" s="27"/>
      <c r="BM2" s="27"/>
      <c r="BN2" s="27"/>
      <c r="BO2" s="27"/>
      <c r="BP2" s="27"/>
      <c r="BQ2" s="27"/>
      <c r="BR2" s="27"/>
      <c r="BS2" s="27"/>
      <c r="BT2" s="27"/>
      <c r="BU2" s="27"/>
      <c r="BV2" s="27"/>
      <c r="BW2" s="27"/>
      <c r="BX2" s="27"/>
      <c r="BY2" s="27"/>
      <c r="BZ2" s="27"/>
      <c r="CA2" s="27"/>
      <c r="CB2" s="27"/>
      <c r="CC2" s="27"/>
      <c r="CD2" s="27"/>
      <c r="CE2" s="27"/>
      <c r="CF2" s="27"/>
      <c r="CG2" s="27"/>
      <c r="CH2" s="27"/>
      <c r="CI2" s="27"/>
      <c r="CJ2" s="27"/>
      <c r="CK2" s="27"/>
      <c r="CL2" s="27"/>
      <c r="CM2" s="27"/>
      <c r="CN2" s="27"/>
      <c r="CO2" s="27"/>
      <c r="CP2" s="27"/>
      <c r="CQ2" s="27"/>
      <c r="CR2" s="27"/>
      <c r="CS2" s="27"/>
      <c r="CT2" s="27"/>
      <c r="CU2" s="27"/>
      <c r="CV2" s="27"/>
      <c r="CW2" s="27"/>
      <c r="CX2" s="27"/>
      <c r="CY2" s="27"/>
      <c r="CZ2" s="27"/>
      <c r="DA2" s="27"/>
      <c r="DB2" s="27"/>
      <c r="DC2" s="27"/>
      <c r="DD2" s="27"/>
      <c r="DE2" s="27"/>
      <c r="DF2" s="27"/>
      <c r="DG2" s="27"/>
      <c r="DH2" s="27"/>
      <c r="DI2" s="27"/>
      <c r="DJ2" s="27"/>
      <c r="DK2" s="27"/>
      <c r="DL2" s="27"/>
      <c r="DM2" s="27"/>
      <c r="DN2" s="27"/>
      <c r="DO2" s="27"/>
      <c r="DP2" s="27"/>
      <c r="DQ2" s="27"/>
      <c r="DR2" s="27"/>
      <c r="DS2" s="27"/>
      <c r="DT2" s="27"/>
      <c r="DU2" s="27"/>
      <c r="DV2" s="27"/>
      <c r="DW2" s="27"/>
      <c r="DX2" s="27"/>
      <c r="DY2" s="27"/>
      <c r="DZ2" s="27"/>
      <c r="EA2" s="27"/>
      <c r="EB2" s="27"/>
      <c r="EC2" s="27"/>
      <c r="ED2" s="27"/>
      <c r="EE2" s="27"/>
      <c r="EF2" s="27"/>
      <c r="EG2" s="27"/>
      <c r="EH2" s="27"/>
      <c r="EI2" s="27"/>
      <c r="EJ2" s="27"/>
      <c r="EK2" s="27"/>
      <c r="EL2" s="27"/>
      <c r="EM2" s="27"/>
      <c r="EN2" s="27"/>
      <c r="EO2" s="27"/>
      <c r="EP2" s="27"/>
      <c r="EQ2" s="27"/>
      <c r="ER2" s="27"/>
      <c r="ES2" s="27"/>
      <c r="ET2" s="27"/>
      <c r="EU2" s="27"/>
      <c r="EV2" s="27"/>
      <c r="EW2" s="27"/>
      <c r="EX2" s="27"/>
      <c r="EY2" s="27"/>
      <c r="EZ2" s="27"/>
      <c r="FA2" s="27"/>
      <c r="FB2" s="27"/>
      <c r="FC2" s="27"/>
      <c r="FD2" s="27"/>
      <c r="FE2" s="27"/>
      <c r="FF2" s="27"/>
      <c r="FG2" s="27"/>
      <c r="FH2" s="27"/>
      <c r="FI2" s="27"/>
      <c r="FJ2" s="27"/>
      <c r="FK2" s="27"/>
      <c r="FL2" s="27"/>
      <c r="FM2" s="27"/>
      <c r="FN2" s="27"/>
      <c r="FO2" s="27"/>
      <c r="FP2" s="27"/>
      <c r="FQ2" s="27"/>
      <c r="FR2" s="27"/>
    </row>
    <row r="3" spans="1:174" s="1" customFormat="1" ht="21.75" customHeight="1" x14ac:dyDescent="0.4">
      <c r="A3" s="20"/>
      <c r="B3" s="21"/>
      <c r="C3" s="21"/>
      <c r="D3" s="21"/>
      <c r="E3" s="21"/>
      <c r="F3" s="5"/>
      <c r="G3" s="8"/>
      <c r="H3" s="28"/>
      <c r="I3" s="28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  <c r="AC3" s="27"/>
      <c r="AD3" s="27"/>
      <c r="AE3" s="27"/>
      <c r="AF3" s="27"/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  <c r="AX3" s="27"/>
      <c r="AY3" s="27"/>
      <c r="AZ3" s="27"/>
      <c r="BA3" s="27"/>
      <c r="BB3" s="27"/>
      <c r="BC3" s="27"/>
      <c r="BD3" s="27"/>
      <c r="BE3" s="27"/>
      <c r="BF3" s="27"/>
      <c r="BG3" s="27"/>
      <c r="BH3" s="27"/>
      <c r="BI3" s="27"/>
      <c r="BJ3" s="27"/>
      <c r="BK3" s="27"/>
      <c r="BL3" s="27"/>
      <c r="BM3" s="27"/>
      <c r="BN3" s="27"/>
      <c r="BO3" s="27"/>
      <c r="BP3" s="27"/>
      <c r="BQ3" s="27"/>
      <c r="BR3" s="27"/>
      <c r="BS3" s="27"/>
      <c r="BT3" s="27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  <c r="CH3" s="27"/>
      <c r="CI3" s="27"/>
      <c r="CJ3" s="27"/>
      <c r="CK3" s="27"/>
      <c r="CL3" s="27"/>
      <c r="CM3" s="27"/>
      <c r="CN3" s="27"/>
      <c r="CO3" s="27"/>
      <c r="CP3" s="27"/>
      <c r="CQ3" s="27"/>
      <c r="CR3" s="27"/>
      <c r="CS3" s="27"/>
      <c r="CT3" s="27"/>
      <c r="CU3" s="27"/>
      <c r="CV3" s="27"/>
      <c r="CW3" s="27"/>
      <c r="CX3" s="27"/>
      <c r="CY3" s="27"/>
      <c r="CZ3" s="27"/>
      <c r="DA3" s="27"/>
      <c r="DB3" s="27"/>
      <c r="DC3" s="27"/>
      <c r="DD3" s="27"/>
      <c r="DE3" s="27"/>
      <c r="DF3" s="27"/>
      <c r="DG3" s="27"/>
      <c r="DH3" s="27"/>
      <c r="DI3" s="27"/>
      <c r="DJ3" s="27"/>
      <c r="DK3" s="27"/>
      <c r="DL3" s="27"/>
      <c r="DM3" s="27"/>
      <c r="DN3" s="27"/>
      <c r="DO3" s="27"/>
      <c r="DP3" s="27"/>
      <c r="DQ3" s="27"/>
      <c r="DR3" s="27"/>
      <c r="DS3" s="27"/>
      <c r="DT3" s="27"/>
      <c r="DU3" s="27"/>
      <c r="DV3" s="27"/>
      <c r="DW3" s="27"/>
      <c r="DX3" s="27"/>
      <c r="DY3" s="27"/>
      <c r="DZ3" s="27"/>
      <c r="EA3" s="27"/>
      <c r="EB3" s="27"/>
      <c r="EC3" s="27"/>
      <c r="ED3" s="27"/>
      <c r="EE3" s="27"/>
      <c r="EF3" s="27"/>
      <c r="EG3" s="27"/>
      <c r="EH3" s="27"/>
      <c r="EI3" s="27"/>
      <c r="EJ3" s="27"/>
      <c r="EK3" s="27"/>
      <c r="EL3" s="27"/>
      <c r="EM3" s="27"/>
      <c r="EN3" s="27"/>
      <c r="EO3" s="27"/>
      <c r="EP3" s="27"/>
      <c r="EQ3" s="27"/>
      <c r="ER3" s="27"/>
      <c r="ES3" s="27"/>
      <c r="ET3" s="27"/>
      <c r="EU3" s="27"/>
      <c r="EV3" s="27"/>
      <c r="EW3" s="27"/>
      <c r="EX3" s="27"/>
      <c r="EY3" s="27"/>
      <c r="EZ3" s="27"/>
      <c r="FA3" s="27"/>
      <c r="FB3" s="27"/>
      <c r="FC3" s="27"/>
      <c r="FD3" s="27"/>
      <c r="FE3" s="27"/>
      <c r="FF3" s="27"/>
      <c r="FG3" s="27"/>
      <c r="FH3" s="27"/>
      <c r="FI3" s="27"/>
      <c r="FJ3" s="27"/>
      <c r="FK3" s="27"/>
      <c r="FL3" s="27"/>
      <c r="FM3" s="27"/>
      <c r="FN3" s="27"/>
      <c r="FO3" s="27"/>
      <c r="FP3" s="27"/>
      <c r="FQ3" s="27"/>
      <c r="FR3" s="27"/>
    </row>
    <row r="4" spans="1:174" s="1" customFormat="1" ht="16.149999999999999" customHeight="1" x14ac:dyDescent="0.5">
      <c r="A4" s="22" t="str">
        <f>CONCATENATE("BANK RECONCILIATION - ",E4)</f>
        <v>BANK RECONCILIATION - Sales (200)</v>
      </c>
      <c r="D4" s="7" t="s">
        <v>10</v>
      </c>
      <c r="E4" s="14" t="s">
        <v>89</v>
      </c>
      <c r="F4" s="5"/>
      <c r="G4" s="8"/>
      <c r="H4" s="29" t="s">
        <v>197</v>
      </c>
      <c r="I4" s="30">
        <v>45622.617662037039</v>
      </c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  <c r="AK4" s="27"/>
      <c r="AL4" s="27"/>
      <c r="AM4" s="27"/>
      <c r="AN4" s="27"/>
      <c r="AO4" s="27"/>
      <c r="AP4" s="27"/>
      <c r="AQ4" s="27"/>
      <c r="AR4" s="27"/>
      <c r="AS4" s="27"/>
      <c r="AT4" s="27"/>
      <c r="AU4" s="27"/>
      <c r="AV4" s="27"/>
      <c r="AW4" s="27"/>
      <c r="AX4" s="27"/>
      <c r="AY4" s="27"/>
      <c r="AZ4" s="27"/>
      <c r="BA4" s="27"/>
      <c r="BB4" s="27"/>
      <c r="BC4" s="27"/>
      <c r="BD4" s="27"/>
      <c r="BE4" s="27"/>
      <c r="BF4" s="27"/>
      <c r="BG4" s="27"/>
      <c r="BH4" s="27"/>
      <c r="BI4" s="27"/>
      <c r="BJ4" s="27"/>
      <c r="BK4" s="27"/>
      <c r="BL4" s="27"/>
      <c r="BM4" s="27"/>
      <c r="BN4" s="27"/>
      <c r="BO4" s="27"/>
      <c r="BP4" s="27"/>
      <c r="BQ4" s="27"/>
      <c r="BR4" s="27"/>
      <c r="BS4" s="27"/>
      <c r="BT4" s="27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  <c r="CH4" s="27"/>
      <c r="CI4" s="27"/>
      <c r="CJ4" s="27"/>
      <c r="CK4" s="27"/>
      <c r="CL4" s="27"/>
      <c r="CM4" s="27"/>
      <c r="CN4" s="27"/>
      <c r="CO4" s="27"/>
      <c r="CP4" s="27"/>
      <c r="CQ4" s="27"/>
      <c r="CR4" s="27"/>
      <c r="CS4" s="27"/>
      <c r="CT4" s="27"/>
      <c r="CU4" s="27"/>
      <c r="CV4" s="27"/>
      <c r="CW4" s="27"/>
      <c r="CX4" s="27"/>
      <c r="CY4" s="27"/>
      <c r="CZ4" s="27"/>
      <c r="DA4" s="27"/>
      <c r="DB4" s="27"/>
      <c r="DC4" s="27"/>
      <c r="DD4" s="27"/>
      <c r="DE4" s="27"/>
      <c r="DF4" s="27"/>
      <c r="DG4" s="27"/>
      <c r="DH4" s="27"/>
      <c r="DI4" s="27"/>
      <c r="DJ4" s="27"/>
      <c r="DK4" s="27"/>
      <c r="DL4" s="27"/>
      <c r="DM4" s="27"/>
      <c r="DN4" s="27"/>
      <c r="DO4" s="27"/>
      <c r="DP4" s="27"/>
      <c r="DQ4" s="27"/>
      <c r="DR4" s="27"/>
      <c r="DS4" s="27"/>
      <c r="DT4" s="27"/>
      <c r="DU4" s="27"/>
      <c r="DV4" s="27"/>
      <c r="DW4" s="27"/>
      <c r="DX4" s="27"/>
      <c r="DY4" s="27"/>
      <c r="DZ4" s="27"/>
      <c r="EA4" s="27"/>
      <c r="EB4" s="27"/>
      <c r="EC4" s="27"/>
      <c r="ED4" s="27"/>
      <c r="EE4" s="27"/>
      <c r="EF4" s="27"/>
      <c r="EG4" s="27"/>
      <c r="EH4" s="27"/>
      <c r="EI4" s="27"/>
      <c r="EJ4" s="27"/>
      <c r="EK4" s="27"/>
      <c r="EL4" s="27"/>
      <c r="EM4" s="27"/>
      <c r="EN4" s="27"/>
      <c r="EO4" s="27"/>
      <c r="EP4" s="27"/>
      <c r="EQ4" s="27"/>
      <c r="ER4" s="27"/>
      <c r="ES4" s="27"/>
      <c r="ET4" s="27"/>
      <c r="EU4" s="27"/>
      <c r="EV4" s="27"/>
      <c r="EW4" s="27"/>
      <c r="EX4" s="27"/>
      <c r="EY4" s="27"/>
      <c r="EZ4" s="27"/>
      <c r="FA4" s="27"/>
      <c r="FB4" s="27"/>
      <c r="FC4" s="27"/>
      <c r="FD4" s="27"/>
      <c r="FE4" s="27"/>
      <c r="FF4" s="27"/>
      <c r="FG4" s="27"/>
      <c r="FH4" s="27"/>
      <c r="FI4" s="27"/>
      <c r="FJ4" s="27"/>
      <c r="FK4" s="27"/>
      <c r="FL4" s="27"/>
      <c r="FM4" s="27"/>
      <c r="FN4" s="27"/>
      <c r="FO4" s="27"/>
      <c r="FP4" s="27"/>
      <c r="FQ4" s="27"/>
      <c r="FR4" s="27"/>
    </row>
    <row r="5" spans="1:174" s="1" customFormat="1" ht="13.5" x14ac:dyDescent="0.35">
      <c r="E5" s="26"/>
      <c r="F5" s="5"/>
      <c r="G5" s="8"/>
      <c r="H5" s="29"/>
      <c r="I5" s="29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27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27"/>
      <c r="BE5" s="27"/>
      <c r="BF5" s="27"/>
      <c r="BG5" s="27"/>
      <c r="BH5" s="27"/>
      <c r="BI5" s="27"/>
      <c r="BJ5" s="27"/>
      <c r="BK5" s="27"/>
      <c r="BL5" s="27"/>
      <c r="BM5" s="27"/>
      <c r="BN5" s="27"/>
      <c r="BO5" s="27"/>
      <c r="BP5" s="27"/>
      <c r="BQ5" s="27"/>
      <c r="BR5" s="27"/>
      <c r="BS5" s="27"/>
      <c r="BT5" s="27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7"/>
      <c r="CJ5" s="27"/>
      <c r="CK5" s="27"/>
      <c r="CL5" s="27"/>
      <c r="CM5" s="27"/>
      <c r="CN5" s="27"/>
      <c r="CO5" s="27"/>
      <c r="CP5" s="27"/>
      <c r="CQ5" s="27"/>
      <c r="CR5" s="27"/>
      <c r="CS5" s="27"/>
      <c r="CT5" s="27"/>
      <c r="CU5" s="27"/>
      <c r="CV5" s="27"/>
      <c r="CW5" s="27"/>
      <c r="CX5" s="27"/>
      <c r="CY5" s="27"/>
      <c r="CZ5" s="27"/>
      <c r="DA5" s="27"/>
      <c r="DB5" s="27"/>
      <c r="DC5" s="27"/>
      <c r="DD5" s="27"/>
      <c r="DE5" s="27"/>
      <c r="DF5" s="27"/>
      <c r="DG5" s="27"/>
      <c r="DH5" s="27"/>
      <c r="DI5" s="27"/>
      <c r="DJ5" s="27"/>
      <c r="DK5" s="27"/>
      <c r="DL5" s="27"/>
      <c r="DM5" s="27"/>
      <c r="DN5" s="27"/>
      <c r="DO5" s="27"/>
      <c r="DP5" s="27"/>
      <c r="DQ5" s="27"/>
      <c r="DR5" s="27"/>
      <c r="DS5" s="27"/>
      <c r="DT5" s="27"/>
      <c r="DU5" s="27"/>
      <c r="DV5" s="27"/>
      <c r="DW5" s="27"/>
      <c r="DX5" s="27"/>
      <c r="DY5" s="27"/>
      <c r="DZ5" s="27"/>
      <c r="EA5" s="27"/>
      <c r="EB5" s="27"/>
      <c r="EC5" s="27"/>
      <c r="ED5" s="27"/>
      <c r="EE5" s="27"/>
      <c r="EF5" s="27"/>
      <c r="EG5" s="27"/>
      <c r="EH5" s="27"/>
      <c r="EI5" s="27"/>
      <c r="EJ5" s="27"/>
      <c r="EK5" s="27"/>
      <c r="EL5" s="27"/>
      <c r="EM5" s="27"/>
      <c r="EN5" s="27"/>
      <c r="EO5" s="27"/>
      <c r="EP5" s="27"/>
      <c r="EQ5" s="27"/>
      <c r="ER5" s="27"/>
      <c r="ES5" s="27"/>
      <c r="ET5" s="27"/>
      <c r="EU5" s="27"/>
      <c r="EV5" s="27"/>
      <c r="EW5" s="27"/>
      <c r="EX5" s="27"/>
      <c r="EY5" s="27"/>
      <c r="EZ5" s="27"/>
      <c r="FA5" s="27"/>
      <c r="FB5" s="27"/>
      <c r="FC5" s="27"/>
      <c r="FD5" s="27"/>
      <c r="FE5" s="27"/>
      <c r="FF5" s="27"/>
      <c r="FG5" s="27"/>
      <c r="FH5" s="27"/>
      <c r="FI5" s="27"/>
      <c r="FJ5" s="27"/>
      <c r="FK5" s="27"/>
      <c r="FL5" s="27"/>
      <c r="FM5" s="27"/>
      <c r="FN5" s="27"/>
      <c r="FO5" s="27"/>
      <c r="FP5" s="27"/>
      <c r="FQ5" s="27"/>
      <c r="FR5" s="27"/>
    </row>
    <row r="6" spans="1:174" s="1" customFormat="1" ht="13.9" x14ac:dyDescent="0.4">
      <c r="A6" s="15" t="s">
        <v>0</v>
      </c>
      <c r="F6" s="5"/>
      <c r="G6" s="8"/>
      <c r="H6" s="29"/>
      <c r="I6" s="30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27"/>
      <c r="AN6" s="27"/>
      <c r="AO6" s="27"/>
      <c r="AP6" s="27"/>
      <c r="AQ6" s="27"/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7"/>
      <c r="BH6" s="27"/>
      <c r="BI6" s="27"/>
      <c r="BJ6" s="27"/>
      <c r="BK6" s="27"/>
      <c r="BL6" s="27"/>
      <c r="BM6" s="27"/>
      <c r="BN6" s="27"/>
      <c r="BO6" s="27"/>
      <c r="BP6" s="27"/>
      <c r="BQ6" s="27"/>
      <c r="BR6" s="27"/>
      <c r="BS6" s="27"/>
      <c r="BT6" s="27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7"/>
      <c r="CJ6" s="27"/>
      <c r="CK6" s="27"/>
      <c r="CL6" s="27"/>
      <c r="CM6" s="27"/>
      <c r="CN6" s="27"/>
      <c r="CO6" s="27"/>
      <c r="CP6" s="27"/>
      <c r="CQ6" s="27"/>
      <c r="CR6" s="27"/>
      <c r="CS6" s="27"/>
      <c r="CT6" s="27"/>
      <c r="CU6" s="27"/>
      <c r="CV6" s="27"/>
      <c r="CW6" s="27"/>
      <c r="CX6" s="27"/>
      <c r="CY6" s="27"/>
      <c r="CZ6" s="27"/>
      <c r="DA6" s="27"/>
      <c r="DB6" s="27"/>
      <c r="DC6" s="27"/>
      <c r="DD6" s="27"/>
      <c r="DE6" s="27"/>
      <c r="DF6" s="27"/>
      <c r="DG6" s="27"/>
      <c r="DH6" s="27"/>
      <c r="DI6" s="27"/>
      <c r="DJ6" s="27"/>
      <c r="DK6" s="27"/>
      <c r="DL6" s="27"/>
      <c r="DM6" s="27"/>
      <c r="DN6" s="27"/>
      <c r="DO6" s="27"/>
      <c r="DP6" s="27"/>
      <c r="DQ6" s="27"/>
      <c r="DR6" s="27"/>
      <c r="DS6" s="27"/>
      <c r="DT6" s="27"/>
      <c r="DU6" s="27"/>
      <c r="DV6" s="27"/>
      <c r="DW6" s="27"/>
      <c r="DX6" s="27"/>
      <c r="DY6" s="27"/>
      <c r="DZ6" s="27"/>
      <c r="EA6" s="27"/>
      <c r="EB6" s="27"/>
      <c r="EC6" s="27"/>
      <c r="ED6" s="27"/>
      <c r="EE6" s="27"/>
      <c r="EF6" s="27"/>
      <c r="EG6" s="27"/>
      <c r="EH6" s="27"/>
      <c r="EI6" s="27"/>
      <c r="EJ6" s="27"/>
      <c r="EK6" s="27"/>
      <c r="EL6" s="27"/>
      <c r="EM6" s="27"/>
      <c r="EN6" s="27"/>
      <c r="EO6" s="27"/>
      <c r="EP6" s="27"/>
      <c r="EQ6" s="27"/>
      <c r="ER6" s="27"/>
      <c r="ES6" s="27"/>
      <c r="ET6" s="27"/>
      <c r="EU6" s="27"/>
      <c r="EV6" s="27"/>
      <c r="EW6" s="27"/>
      <c r="EX6" s="27"/>
      <c r="EY6" s="27"/>
      <c r="EZ6" s="27"/>
      <c r="FA6" s="27"/>
      <c r="FB6" s="27"/>
      <c r="FC6" s="27"/>
      <c r="FD6" s="27"/>
      <c r="FE6" s="27"/>
      <c r="FF6" s="27"/>
      <c r="FG6" s="27"/>
      <c r="FH6" s="27"/>
      <c r="FI6" s="27"/>
      <c r="FJ6" s="27"/>
      <c r="FK6" s="27"/>
      <c r="FL6" s="27"/>
      <c r="FM6" s="27"/>
      <c r="FN6" s="27"/>
      <c r="FO6" s="27"/>
      <c r="FP6" s="27"/>
      <c r="FQ6" s="27"/>
      <c r="FR6" s="27"/>
    </row>
    <row r="7" spans="1:174" s="1" customFormat="1" ht="13.9" x14ac:dyDescent="0.4">
      <c r="A7" s="15"/>
      <c r="B7" s="76" t="s">
        <v>198</v>
      </c>
      <c r="E7" s="77">
        <f>_xlfn.XLOOKUP(E4,'Trial Balance Dump'!B:B,'Trial Balance Dump'!D:D)</f>
        <v>0</v>
      </c>
      <c r="F7" s="5"/>
      <c r="G7" s="8"/>
      <c r="H7" s="29"/>
      <c r="I7" s="30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</row>
    <row r="8" spans="1:174" s="1" customFormat="1" ht="13.9" x14ac:dyDescent="0.4">
      <c r="B8" s="76" t="s">
        <v>199</v>
      </c>
      <c r="E8" s="78">
        <f>_xlfn.XLOOKUP(E4,'Trial Balance Dump'!B:B,'Trial Balance Dump'!E:E)</f>
        <v>4200</v>
      </c>
      <c r="F8" s="5"/>
      <c r="G8" s="8"/>
      <c r="H8" s="29"/>
      <c r="I8" s="30"/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  <c r="AK8" s="27"/>
      <c r="AL8" s="27"/>
      <c r="AM8" s="27"/>
      <c r="AN8" s="27"/>
      <c r="AO8" s="27"/>
      <c r="AP8" s="27"/>
      <c r="AQ8" s="27"/>
      <c r="AR8" s="27"/>
      <c r="AS8" s="27"/>
      <c r="AT8" s="27"/>
      <c r="AU8" s="27"/>
      <c r="AV8" s="27"/>
      <c r="AW8" s="27"/>
      <c r="AX8" s="27"/>
      <c r="AY8" s="27"/>
      <c r="AZ8" s="27"/>
      <c r="BA8" s="27"/>
      <c r="BB8" s="27"/>
      <c r="BC8" s="27"/>
      <c r="BD8" s="27"/>
      <c r="BE8" s="27"/>
      <c r="BF8" s="27"/>
      <c r="BG8" s="27"/>
      <c r="BH8" s="27"/>
      <c r="BI8" s="27"/>
      <c r="BJ8" s="27"/>
      <c r="BK8" s="27"/>
      <c r="BL8" s="27"/>
      <c r="BM8" s="27"/>
      <c r="BN8" s="27"/>
      <c r="BO8" s="27"/>
      <c r="BP8" s="27"/>
      <c r="BQ8" s="27"/>
      <c r="BR8" s="27"/>
      <c r="BS8" s="27"/>
      <c r="BT8" s="27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7"/>
      <c r="CJ8" s="27"/>
      <c r="CK8" s="27"/>
      <c r="CL8" s="27"/>
      <c r="CM8" s="27"/>
      <c r="CN8" s="27"/>
      <c r="CO8" s="27"/>
      <c r="CP8" s="27"/>
      <c r="CQ8" s="27"/>
      <c r="CR8" s="27"/>
      <c r="CS8" s="27"/>
      <c r="CT8" s="27"/>
      <c r="CU8" s="27"/>
      <c r="CV8" s="27"/>
      <c r="CW8" s="27"/>
      <c r="CX8" s="27"/>
      <c r="CY8" s="27"/>
      <c r="CZ8" s="27"/>
      <c r="DA8" s="27"/>
      <c r="DB8" s="27"/>
      <c r="DC8" s="27"/>
      <c r="DD8" s="27"/>
      <c r="DE8" s="27"/>
      <c r="DF8" s="27"/>
      <c r="DG8" s="27"/>
      <c r="DH8" s="27"/>
      <c r="DI8" s="27"/>
      <c r="DJ8" s="27"/>
      <c r="DK8" s="27"/>
      <c r="DL8" s="27"/>
      <c r="DM8" s="27"/>
      <c r="DN8" s="27"/>
      <c r="DO8" s="27"/>
      <c r="DP8" s="27"/>
      <c r="DQ8" s="27"/>
      <c r="DR8" s="27"/>
      <c r="DS8" s="27"/>
      <c r="DT8" s="27"/>
      <c r="DU8" s="27"/>
      <c r="DV8" s="27"/>
      <c r="DW8" s="27"/>
      <c r="DX8" s="27"/>
      <c r="DY8" s="27"/>
      <c r="DZ8" s="27"/>
      <c r="EA8" s="27"/>
      <c r="EB8" s="27"/>
      <c r="EC8" s="27"/>
      <c r="ED8" s="27"/>
      <c r="EE8" s="27"/>
      <c r="EF8" s="27"/>
      <c r="EG8" s="27"/>
      <c r="EH8" s="27"/>
      <c r="EI8" s="27"/>
      <c r="EJ8" s="27"/>
      <c r="EK8" s="27"/>
      <c r="EL8" s="27"/>
      <c r="EM8" s="27"/>
      <c r="EN8" s="27"/>
      <c r="EO8" s="27"/>
      <c r="EP8" s="27"/>
      <c r="EQ8" s="27"/>
      <c r="ER8" s="27"/>
      <c r="ES8" s="27"/>
      <c r="ET8" s="27"/>
      <c r="EU8" s="27"/>
      <c r="EV8" s="27"/>
      <c r="EW8" s="27"/>
      <c r="EX8" s="27"/>
      <c r="EY8" s="27"/>
      <c r="EZ8" s="27"/>
      <c r="FA8" s="27"/>
      <c r="FB8" s="27"/>
      <c r="FC8" s="27"/>
      <c r="FD8" s="27"/>
      <c r="FE8" s="27"/>
      <c r="FF8" s="27"/>
      <c r="FG8" s="27"/>
      <c r="FH8" s="27"/>
      <c r="FI8" s="27"/>
      <c r="FJ8" s="27"/>
      <c r="FK8" s="27"/>
      <c r="FL8" s="27"/>
      <c r="FM8" s="27"/>
      <c r="FN8" s="27"/>
      <c r="FO8" s="27"/>
      <c r="FP8" s="27"/>
      <c r="FQ8" s="27"/>
      <c r="FR8" s="27"/>
    </row>
    <row r="9" spans="1:174" s="1" customFormat="1" ht="13.5" x14ac:dyDescent="0.35">
      <c r="E9" s="26"/>
      <c r="F9" s="5"/>
      <c r="G9" s="8"/>
      <c r="H9" s="29"/>
      <c r="I9" s="30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  <c r="AN9" s="27"/>
      <c r="AO9" s="27"/>
      <c r="AP9" s="27"/>
      <c r="AQ9" s="27"/>
      <c r="AR9" s="27"/>
      <c r="AS9" s="27"/>
      <c r="AT9" s="27"/>
      <c r="AU9" s="27"/>
      <c r="AV9" s="27"/>
      <c r="AW9" s="27"/>
      <c r="AX9" s="27"/>
      <c r="AY9" s="27"/>
      <c r="AZ9" s="27"/>
      <c r="BA9" s="27"/>
      <c r="BB9" s="27"/>
      <c r="BC9" s="27"/>
      <c r="BD9" s="27"/>
      <c r="BE9" s="27"/>
      <c r="BF9" s="27"/>
      <c r="BG9" s="27"/>
      <c r="BH9" s="27"/>
      <c r="BI9" s="27"/>
      <c r="BJ9" s="27"/>
      <c r="BK9" s="27"/>
      <c r="BL9" s="27"/>
      <c r="BM9" s="27"/>
      <c r="BN9" s="27"/>
      <c r="BO9" s="27"/>
      <c r="BP9" s="27"/>
      <c r="BQ9" s="27"/>
      <c r="BR9" s="27"/>
      <c r="BS9" s="27"/>
      <c r="BT9" s="27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7"/>
      <c r="CJ9" s="27"/>
      <c r="CK9" s="27"/>
      <c r="CL9" s="27"/>
      <c r="CM9" s="27"/>
      <c r="CN9" s="27"/>
      <c r="CO9" s="27"/>
      <c r="CP9" s="27"/>
      <c r="CQ9" s="27"/>
      <c r="CR9" s="27"/>
      <c r="CS9" s="27"/>
      <c r="CT9" s="27"/>
      <c r="CU9" s="27"/>
      <c r="CV9" s="27"/>
      <c r="CW9" s="27"/>
      <c r="CX9" s="27"/>
      <c r="CY9" s="27"/>
      <c r="CZ9" s="27"/>
      <c r="DA9" s="27"/>
      <c r="DB9" s="27"/>
      <c r="DC9" s="27"/>
      <c r="DD9" s="27"/>
      <c r="DE9" s="27"/>
      <c r="DF9" s="27"/>
      <c r="DG9" s="27"/>
      <c r="DH9" s="27"/>
      <c r="DI9" s="27"/>
      <c r="DJ9" s="27"/>
      <c r="DK9" s="27"/>
      <c r="DL9" s="27"/>
      <c r="DM9" s="27"/>
      <c r="DN9" s="27"/>
      <c r="DO9" s="27"/>
      <c r="DP9" s="27"/>
      <c r="DQ9" s="27"/>
      <c r="DR9" s="27"/>
      <c r="DS9" s="27"/>
      <c r="DT9" s="27"/>
      <c r="DU9" s="27"/>
      <c r="DV9" s="27"/>
      <c r="DW9" s="27"/>
      <c r="DX9" s="27"/>
      <c r="DY9" s="27"/>
      <c r="DZ9" s="27"/>
      <c r="EA9" s="27"/>
      <c r="EB9" s="27"/>
      <c r="EC9" s="27"/>
      <c r="ED9" s="27"/>
      <c r="EE9" s="27"/>
      <c r="EF9" s="27"/>
      <c r="EG9" s="27"/>
      <c r="EH9" s="27"/>
      <c r="EI9" s="27"/>
      <c r="EJ9" s="27"/>
      <c r="EK9" s="27"/>
      <c r="EL9" s="27"/>
      <c r="EM9" s="27"/>
      <c r="EN9" s="27"/>
      <c r="EO9" s="27"/>
      <c r="EP9" s="27"/>
      <c r="EQ9" s="27"/>
      <c r="ER9" s="27"/>
      <c r="ES9" s="27"/>
      <c r="ET9" s="27"/>
      <c r="EU9" s="27"/>
      <c r="EV9" s="27"/>
      <c r="EW9" s="27"/>
      <c r="EX9" s="27"/>
      <c r="EY9" s="27"/>
      <c r="EZ9" s="27"/>
      <c r="FA9" s="27"/>
      <c r="FB9" s="27"/>
      <c r="FC9" s="27"/>
      <c r="FD9" s="27"/>
      <c r="FE9" s="27"/>
      <c r="FF9" s="27"/>
      <c r="FG9" s="27"/>
      <c r="FH9" s="27"/>
      <c r="FI9" s="27"/>
      <c r="FJ9" s="27"/>
      <c r="FK9" s="27"/>
      <c r="FL9" s="27"/>
      <c r="FM9" s="27"/>
      <c r="FN9" s="27"/>
      <c r="FO9" s="27"/>
      <c r="FP9" s="27"/>
      <c r="FQ9" s="27"/>
      <c r="FR9" s="27"/>
    </row>
    <row r="10" spans="1:174" s="1" customFormat="1" ht="13.5" x14ac:dyDescent="0.35">
      <c r="E10" s="23"/>
      <c r="F10" s="5"/>
      <c r="G10" s="8"/>
      <c r="H10" s="29"/>
      <c r="I10" s="29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  <c r="AK10" s="27"/>
      <c r="AL10" s="27"/>
      <c r="AM10" s="27"/>
      <c r="AN10" s="27"/>
      <c r="AO10" s="27"/>
      <c r="AP10" s="27"/>
      <c r="AQ10" s="27"/>
      <c r="AR10" s="27"/>
      <c r="AS10" s="27"/>
      <c r="AT10" s="27"/>
      <c r="AU10" s="27"/>
      <c r="AV10" s="27"/>
      <c r="AW10" s="27"/>
      <c r="AX10" s="27"/>
      <c r="AY10" s="27"/>
      <c r="AZ10" s="27"/>
      <c r="BA10" s="27"/>
      <c r="BB10" s="27"/>
      <c r="BC10" s="27"/>
      <c r="BD10" s="27"/>
      <c r="BE10" s="27"/>
      <c r="BF10" s="27"/>
      <c r="BG10" s="27"/>
      <c r="BH10" s="27"/>
      <c r="BI10" s="27"/>
      <c r="BJ10" s="27"/>
      <c r="BK10" s="27"/>
      <c r="BL10" s="27"/>
      <c r="BM10" s="27"/>
      <c r="BN10" s="27"/>
      <c r="BO10" s="27"/>
      <c r="BP10" s="27"/>
      <c r="BQ10" s="27"/>
      <c r="BR10" s="27"/>
      <c r="BS10" s="27"/>
      <c r="BT10" s="27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7"/>
      <c r="CJ10" s="27"/>
      <c r="CK10" s="27"/>
      <c r="CL10" s="27"/>
      <c r="CM10" s="27"/>
      <c r="CN10" s="27"/>
      <c r="CO10" s="27"/>
      <c r="CP10" s="27"/>
      <c r="CQ10" s="27"/>
      <c r="CR10" s="27"/>
      <c r="CS10" s="27"/>
      <c r="CT10" s="27"/>
      <c r="CU10" s="27"/>
      <c r="CV10" s="27"/>
      <c r="CW10" s="27"/>
      <c r="CX10" s="27"/>
      <c r="CY10" s="27"/>
      <c r="CZ10" s="27"/>
      <c r="DA10" s="27"/>
      <c r="DB10" s="27"/>
      <c r="DC10" s="27"/>
      <c r="DD10" s="27"/>
      <c r="DE10" s="27"/>
      <c r="DF10" s="27"/>
      <c r="DG10" s="27"/>
      <c r="DH10" s="27"/>
      <c r="DI10" s="27"/>
      <c r="DJ10" s="27"/>
      <c r="DK10" s="27"/>
      <c r="DL10" s="27"/>
      <c r="DM10" s="27"/>
      <c r="DN10" s="27"/>
      <c r="DO10" s="27"/>
      <c r="DP10" s="27"/>
      <c r="DQ10" s="27"/>
      <c r="DR10" s="27"/>
      <c r="DS10" s="27"/>
      <c r="DT10" s="27"/>
      <c r="DU10" s="27"/>
      <c r="DV10" s="27"/>
      <c r="DW10" s="27"/>
      <c r="DX10" s="27"/>
      <c r="DY10" s="27"/>
      <c r="DZ10" s="27"/>
      <c r="EA10" s="27"/>
      <c r="EB10" s="27"/>
      <c r="EC10" s="27"/>
      <c r="ED10" s="27"/>
      <c r="EE10" s="27"/>
      <c r="EF10" s="27"/>
      <c r="EG10" s="27"/>
      <c r="EH10" s="27"/>
      <c r="EI10" s="27"/>
      <c r="EJ10" s="27"/>
      <c r="EK10" s="27"/>
      <c r="EL10" s="27"/>
      <c r="EM10" s="27"/>
      <c r="EN10" s="27"/>
      <c r="EO10" s="27"/>
      <c r="EP10" s="27"/>
      <c r="EQ10" s="27"/>
      <c r="ER10" s="27"/>
      <c r="ES10" s="27"/>
      <c r="ET10" s="27"/>
      <c r="EU10" s="27"/>
      <c r="EV10" s="27"/>
      <c r="EW10" s="27"/>
      <c r="EX10" s="27"/>
      <c r="EY10" s="27"/>
      <c r="EZ10" s="27"/>
      <c r="FA10" s="27"/>
      <c r="FB10" s="27"/>
      <c r="FC10" s="27"/>
      <c r="FD10" s="27"/>
      <c r="FE10" s="27"/>
      <c r="FF10" s="27"/>
      <c r="FG10" s="27"/>
      <c r="FH10" s="27"/>
      <c r="FI10" s="27"/>
      <c r="FJ10" s="27"/>
      <c r="FK10" s="27"/>
      <c r="FL10" s="27"/>
      <c r="FM10" s="27"/>
      <c r="FN10" s="27"/>
      <c r="FO10" s="27"/>
      <c r="FP10" s="27"/>
      <c r="FQ10" s="27"/>
      <c r="FR10" s="27"/>
    </row>
    <row r="11" spans="1:174" s="1" customFormat="1" ht="13.9" x14ac:dyDescent="0.4">
      <c r="B11" s="6" t="s">
        <v>13</v>
      </c>
      <c r="C11" s="6" t="s">
        <v>14</v>
      </c>
      <c r="E11" s="23"/>
      <c r="F11" s="5"/>
      <c r="G11" s="8"/>
      <c r="H11" s="29"/>
      <c r="I11" s="29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27"/>
      <c r="AT11" s="27"/>
      <c r="AU11" s="27"/>
      <c r="AV11" s="27"/>
      <c r="AW11" s="27"/>
      <c r="AX11" s="27"/>
      <c r="AY11" s="27"/>
      <c r="AZ11" s="27"/>
      <c r="BA11" s="27"/>
      <c r="BB11" s="27"/>
      <c r="BC11" s="27"/>
      <c r="BD11" s="27"/>
      <c r="BE11" s="27"/>
      <c r="BF11" s="27"/>
      <c r="BG11" s="27"/>
      <c r="BH11" s="27"/>
      <c r="BI11" s="27"/>
      <c r="BJ11" s="27"/>
      <c r="BK11" s="27"/>
      <c r="BL11" s="27"/>
      <c r="BM11" s="27"/>
      <c r="BN11" s="27"/>
      <c r="BO11" s="27"/>
      <c r="BP11" s="27"/>
      <c r="BQ11" s="27"/>
      <c r="BR11" s="27"/>
      <c r="BS11" s="27"/>
      <c r="BT11" s="27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7"/>
      <c r="CJ11" s="27"/>
      <c r="CK11" s="27"/>
      <c r="CL11" s="27"/>
      <c r="CM11" s="27"/>
      <c r="CN11" s="27"/>
      <c r="CO11" s="27"/>
      <c r="CP11" s="27"/>
      <c r="CQ11" s="27"/>
      <c r="CR11" s="27"/>
      <c r="CS11" s="27"/>
      <c r="CT11" s="27"/>
      <c r="CU11" s="27"/>
      <c r="CV11" s="27"/>
      <c r="CW11" s="27"/>
      <c r="CX11" s="27"/>
      <c r="CY11" s="27"/>
      <c r="CZ11" s="27"/>
      <c r="DA11" s="27"/>
      <c r="DB11" s="27"/>
      <c r="DC11" s="27"/>
      <c r="DD11" s="27"/>
      <c r="DE11" s="27"/>
      <c r="DF11" s="27"/>
      <c r="DG11" s="27"/>
      <c r="DH11" s="27"/>
      <c r="DI11" s="27"/>
      <c r="DJ11" s="27"/>
      <c r="DK11" s="27"/>
      <c r="DL11" s="27"/>
      <c r="DM11" s="27"/>
      <c r="DN11" s="27"/>
      <c r="DO11" s="27"/>
      <c r="DP11" s="27"/>
      <c r="DQ11" s="27"/>
      <c r="DR11" s="27"/>
      <c r="DS11" s="27"/>
      <c r="DT11" s="27"/>
      <c r="DU11" s="27"/>
      <c r="DV11" s="27"/>
      <c r="DW11" s="27"/>
      <c r="DX11" s="27"/>
      <c r="DY11" s="27"/>
      <c r="DZ11" s="27"/>
      <c r="EA11" s="27"/>
      <c r="EB11" s="27"/>
      <c r="EC11" s="27"/>
      <c r="ED11" s="27"/>
      <c r="EE11" s="27"/>
      <c r="EF11" s="27"/>
      <c r="EG11" s="27"/>
      <c r="EH11" s="27"/>
      <c r="EI11" s="27"/>
      <c r="EJ11" s="27"/>
      <c r="EK11" s="27"/>
      <c r="EL11" s="27"/>
      <c r="EM11" s="27"/>
      <c r="EN11" s="27"/>
      <c r="EO11" s="27"/>
      <c r="EP11" s="27"/>
      <c r="EQ11" s="27"/>
      <c r="ER11" s="27"/>
      <c r="ES11" s="27"/>
      <c r="ET11" s="27"/>
      <c r="EU11" s="27"/>
      <c r="EV11" s="27"/>
      <c r="EW11" s="27"/>
      <c r="EX11" s="27"/>
      <c r="EY11" s="27"/>
      <c r="EZ11" s="27"/>
      <c r="FA11" s="27"/>
      <c r="FB11" s="27"/>
      <c r="FC11" s="27"/>
      <c r="FD11" s="27"/>
      <c r="FE11" s="27"/>
      <c r="FF11" s="27"/>
      <c r="FG11" s="27"/>
      <c r="FH11" s="27"/>
      <c r="FI11" s="27"/>
      <c r="FJ11" s="27"/>
      <c r="FK11" s="27"/>
      <c r="FL11" s="27"/>
      <c r="FM11" s="27"/>
      <c r="FN11" s="27"/>
      <c r="FO11" s="27"/>
      <c r="FP11" s="27"/>
      <c r="FQ11" s="27"/>
      <c r="FR11" s="27"/>
    </row>
    <row r="12" spans="1:174" s="1" customFormat="1" ht="13.9" x14ac:dyDescent="0.4">
      <c r="B12" s="80"/>
      <c r="C12" s="12"/>
      <c r="E12" s="23"/>
      <c r="F12" s="5"/>
      <c r="G12" s="8"/>
      <c r="H12" s="29"/>
      <c r="I12" s="29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7"/>
      <c r="AB12" s="27"/>
      <c r="AC12" s="27"/>
      <c r="AD12" s="27"/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27"/>
      <c r="AT12" s="27"/>
      <c r="AU12" s="27"/>
      <c r="AV12" s="27"/>
      <c r="AW12" s="27"/>
      <c r="AX12" s="27"/>
      <c r="AY12" s="27"/>
      <c r="AZ12" s="27"/>
      <c r="BA12" s="27"/>
      <c r="BB12" s="27"/>
      <c r="BC12" s="27"/>
      <c r="BD12" s="27"/>
      <c r="BE12" s="27"/>
      <c r="BF12" s="27"/>
      <c r="BG12" s="27"/>
      <c r="BH12" s="27"/>
      <c r="BI12" s="27"/>
      <c r="BJ12" s="27"/>
      <c r="BK12" s="27"/>
      <c r="BL12" s="27"/>
      <c r="BM12" s="27"/>
      <c r="BN12" s="27"/>
      <c r="BO12" s="27"/>
      <c r="BP12" s="27"/>
      <c r="BQ12" s="27"/>
      <c r="BR12" s="27"/>
      <c r="BS12" s="27"/>
      <c r="BT12" s="27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7"/>
      <c r="CJ12" s="27"/>
      <c r="CK12" s="27"/>
      <c r="CL12" s="27"/>
      <c r="CM12" s="27"/>
      <c r="CN12" s="27"/>
      <c r="CO12" s="27"/>
      <c r="CP12" s="27"/>
      <c r="CQ12" s="27"/>
      <c r="CR12" s="27"/>
      <c r="CS12" s="27"/>
      <c r="CT12" s="27"/>
      <c r="CU12" s="27"/>
      <c r="CV12" s="27"/>
      <c r="CW12" s="27"/>
      <c r="CX12" s="27"/>
      <c r="CY12" s="27"/>
      <c r="CZ12" s="27"/>
      <c r="DA12" s="27"/>
      <c r="DB12" s="27"/>
      <c r="DC12" s="27"/>
      <c r="DD12" s="27"/>
      <c r="DE12" s="27"/>
      <c r="DF12" s="27"/>
      <c r="DG12" s="27"/>
      <c r="DH12" s="27"/>
      <c r="DI12" s="27"/>
      <c r="DJ12" s="27"/>
      <c r="DK12" s="27"/>
      <c r="DL12" s="27"/>
      <c r="DM12" s="27"/>
      <c r="DN12" s="27"/>
      <c r="DO12" s="27"/>
      <c r="DP12" s="27"/>
      <c r="DQ12" s="27"/>
      <c r="DR12" s="27"/>
      <c r="DS12" s="27"/>
      <c r="DT12" s="27"/>
      <c r="DU12" s="27"/>
      <c r="DV12" s="27"/>
      <c r="DW12" s="27"/>
      <c r="DX12" s="27"/>
      <c r="DY12" s="27"/>
      <c r="DZ12" s="27"/>
      <c r="EA12" s="27"/>
      <c r="EB12" s="27"/>
      <c r="EC12" s="27"/>
      <c r="ED12" s="27"/>
      <c r="EE12" s="27"/>
      <c r="EF12" s="27"/>
      <c r="EG12" s="27"/>
      <c r="EH12" s="27"/>
      <c r="EI12" s="27"/>
      <c r="EJ12" s="27"/>
      <c r="EK12" s="27"/>
      <c r="EL12" s="27"/>
      <c r="EM12" s="27"/>
      <c r="EN12" s="27"/>
      <c r="EO12" s="27"/>
      <c r="EP12" s="27"/>
      <c r="EQ12" s="27"/>
      <c r="ER12" s="27"/>
      <c r="ES12" s="27"/>
      <c r="ET12" s="27"/>
      <c r="EU12" s="27"/>
      <c r="EV12" s="27"/>
      <c r="EW12" s="27"/>
      <c r="EX12" s="27"/>
      <c r="EY12" s="27"/>
      <c r="EZ12" s="27"/>
      <c r="FA12" s="27"/>
      <c r="FB12" s="27"/>
      <c r="FC12" s="27"/>
      <c r="FD12" s="27"/>
      <c r="FE12" s="27"/>
      <c r="FF12" s="27"/>
      <c r="FG12" s="27"/>
      <c r="FH12" s="27"/>
      <c r="FI12" s="27"/>
      <c r="FJ12" s="27"/>
      <c r="FK12" s="27"/>
      <c r="FL12" s="27"/>
      <c r="FM12" s="27"/>
      <c r="FN12" s="27"/>
      <c r="FO12" s="27"/>
      <c r="FP12" s="27"/>
      <c r="FQ12" s="27"/>
      <c r="FR12" s="27"/>
    </row>
    <row r="13" spans="1:174" s="1" customFormat="1" ht="13.9" x14ac:dyDescent="0.4">
      <c r="B13" s="61"/>
      <c r="C13" s="12"/>
      <c r="E13" s="23"/>
      <c r="F13" s="5"/>
      <c r="G13" s="8"/>
      <c r="H13" s="29"/>
      <c r="I13" s="29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27"/>
      <c r="AT13" s="27"/>
      <c r="AU13" s="27"/>
      <c r="AV13" s="27"/>
      <c r="AW13" s="27"/>
      <c r="AX13" s="27"/>
      <c r="AY13" s="27"/>
      <c r="AZ13" s="27"/>
      <c r="BA13" s="27"/>
      <c r="BB13" s="27"/>
      <c r="BC13" s="27"/>
      <c r="BD13" s="27"/>
      <c r="BE13" s="27"/>
      <c r="BF13" s="27"/>
      <c r="BG13" s="27"/>
      <c r="BH13" s="27"/>
      <c r="BI13" s="27"/>
      <c r="BJ13" s="27"/>
      <c r="BK13" s="27"/>
      <c r="BL13" s="27"/>
      <c r="BM13" s="27"/>
      <c r="BN13" s="27"/>
      <c r="BO13" s="27"/>
      <c r="BP13" s="27"/>
      <c r="BQ13" s="27"/>
      <c r="BR13" s="27"/>
      <c r="BS13" s="27"/>
      <c r="BT13" s="27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G13" s="27"/>
      <c r="CH13" s="27"/>
      <c r="CI13" s="27"/>
      <c r="CJ13" s="27"/>
      <c r="CK13" s="27"/>
      <c r="CL13" s="27"/>
      <c r="CM13" s="27"/>
      <c r="CN13" s="27"/>
      <c r="CO13" s="27"/>
      <c r="CP13" s="27"/>
      <c r="CQ13" s="27"/>
      <c r="CR13" s="27"/>
      <c r="CS13" s="27"/>
      <c r="CT13" s="27"/>
      <c r="CU13" s="27"/>
      <c r="CV13" s="27"/>
      <c r="CW13" s="27"/>
      <c r="CX13" s="27"/>
      <c r="CY13" s="27"/>
      <c r="CZ13" s="27"/>
      <c r="DA13" s="27"/>
      <c r="DB13" s="27"/>
      <c r="DC13" s="27"/>
      <c r="DD13" s="27"/>
      <c r="DE13" s="27"/>
      <c r="DF13" s="27"/>
      <c r="DG13" s="27"/>
      <c r="DH13" s="27"/>
      <c r="DI13" s="27"/>
      <c r="DJ13" s="27"/>
      <c r="DK13" s="27"/>
      <c r="DL13" s="27"/>
      <c r="DM13" s="27"/>
      <c r="DN13" s="27"/>
      <c r="DO13" s="27"/>
      <c r="DP13" s="27"/>
      <c r="DQ13" s="27"/>
      <c r="DR13" s="27"/>
      <c r="DS13" s="27"/>
      <c r="DT13" s="27"/>
      <c r="DU13" s="27"/>
      <c r="DV13" s="27"/>
      <c r="DW13" s="27"/>
      <c r="DX13" s="27"/>
      <c r="DY13" s="27"/>
      <c r="DZ13" s="27"/>
      <c r="EA13" s="27"/>
      <c r="EB13" s="27"/>
      <c r="EC13" s="27"/>
      <c r="ED13" s="27"/>
      <c r="EE13" s="27"/>
      <c r="EF13" s="27"/>
      <c r="EG13" s="27"/>
      <c r="EH13" s="27"/>
      <c r="EI13" s="27"/>
      <c r="EJ13" s="27"/>
      <c r="EK13" s="27"/>
      <c r="EL13" s="27"/>
      <c r="EM13" s="27"/>
      <c r="EN13" s="27"/>
      <c r="EO13" s="27"/>
      <c r="EP13" s="27"/>
      <c r="EQ13" s="27"/>
      <c r="ER13" s="27"/>
      <c r="ES13" s="27"/>
      <c r="ET13" s="27"/>
      <c r="EU13" s="27"/>
      <c r="EV13" s="27"/>
      <c r="EW13" s="27"/>
      <c r="EX13" s="27"/>
      <c r="EY13" s="27"/>
      <c r="EZ13" s="27"/>
      <c r="FA13" s="27"/>
      <c r="FB13" s="27"/>
      <c r="FC13" s="27"/>
      <c r="FD13" s="27"/>
      <c r="FE13" s="27"/>
      <c r="FF13" s="27"/>
      <c r="FG13" s="27"/>
      <c r="FH13" s="27"/>
      <c r="FI13" s="27"/>
      <c r="FJ13" s="27"/>
      <c r="FK13" s="27"/>
      <c r="FL13" s="27"/>
      <c r="FM13" s="27"/>
      <c r="FN13" s="27"/>
      <c r="FO13" s="27"/>
      <c r="FP13" s="27"/>
      <c r="FQ13" s="27"/>
      <c r="FR13" s="27"/>
    </row>
    <row r="14" spans="1:174" s="1" customFormat="1" ht="13.5" x14ac:dyDescent="0.35">
      <c r="B14" s="62"/>
      <c r="C14" s="12"/>
      <c r="E14" s="23"/>
      <c r="F14" s="5"/>
      <c r="G14" s="8"/>
      <c r="H14" s="29"/>
      <c r="I14" s="29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27"/>
      <c r="AL14" s="27"/>
      <c r="AM14" s="27"/>
      <c r="AN14" s="27"/>
      <c r="AO14" s="27"/>
      <c r="AP14" s="27"/>
      <c r="AQ14" s="27"/>
      <c r="AR14" s="27"/>
      <c r="AS14" s="27"/>
      <c r="AT14" s="27"/>
      <c r="AU14" s="27"/>
      <c r="AV14" s="27"/>
      <c r="AW14" s="27"/>
      <c r="AX14" s="27"/>
      <c r="AY14" s="27"/>
      <c r="AZ14" s="27"/>
      <c r="BA14" s="27"/>
      <c r="BB14" s="27"/>
      <c r="BC14" s="27"/>
      <c r="BD14" s="27"/>
      <c r="BE14" s="27"/>
      <c r="BF14" s="27"/>
      <c r="BG14" s="27"/>
      <c r="BH14" s="27"/>
      <c r="BI14" s="27"/>
      <c r="BJ14" s="27"/>
      <c r="BK14" s="27"/>
      <c r="BL14" s="27"/>
      <c r="BM14" s="27"/>
      <c r="BN14" s="27"/>
      <c r="BO14" s="27"/>
      <c r="BP14" s="27"/>
      <c r="BQ14" s="27"/>
      <c r="BR14" s="27"/>
      <c r="BS14" s="27"/>
      <c r="BT14" s="27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G14" s="27"/>
      <c r="CH14" s="27"/>
      <c r="CI14" s="27"/>
      <c r="CJ14" s="27"/>
      <c r="CK14" s="27"/>
      <c r="CL14" s="27"/>
      <c r="CM14" s="27"/>
      <c r="CN14" s="27"/>
      <c r="CO14" s="27"/>
      <c r="CP14" s="27"/>
      <c r="CQ14" s="27"/>
      <c r="CR14" s="27"/>
      <c r="CS14" s="27"/>
      <c r="CT14" s="27"/>
      <c r="CU14" s="27"/>
      <c r="CV14" s="27"/>
      <c r="CW14" s="27"/>
      <c r="CX14" s="27"/>
      <c r="CY14" s="27"/>
      <c r="CZ14" s="27"/>
      <c r="DA14" s="27"/>
      <c r="DB14" s="27"/>
      <c r="DC14" s="27"/>
      <c r="DD14" s="27"/>
      <c r="DE14" s="27"/>
      <c r="DF14" s="27"/>
      <c r="DG14" s="27"/>
      <c r="DH14" s="27"/>
      <c r="DI14" s="27"/>
      <c r="DJ14" s="27"/>
      <c r="DK14" s="27"/>
      <c r="DL14" s="27"/>
      <c r="DM14" s="27"/>
      <c r="DN14" s="27"/>
      <c r="DO14" s="27"/>
      <c r="DP14" s="27"/>
      <c r="DQ14" s="27"/>
      <c r="DR14" s="27"/>
      <c r="DS14" s="27"/>
      <c r="DT14" s="27"/>
      <c r="DU14" s="27"/>
      <c r="DV14" s="27"/>
      <c r="DW14" s="27"/>
      <c r="DX14" s="27"/>
      <c r="DY14" s="27"/>
      <c r="DZ14" s="27"/>
      <c r="EA14" s="27"/>
      <c r="EB14" s="27"/>
      <c r="EC14" s="27"/>
      <c r="ED14" s="27"/>
      <c r="EE14" s="27"/>
      <c r="EF14" s="27"/>
      <c r="EG14" s="27"/>
      <c r="EH14" s="27"/>
      <c r="EI14" s="27"/>
      <c r="EJ14" s="27"/>
      <c r="EK14" s="27"/>
      <c r="EL14" s="27"/>
      <c r="EM14" s="27"/>
      <c r="EN14" s="27"/>
      <c r="EO14" s="27"/>
      <c r="EP14" s="27"/>
      <c r="EQ14" s="27"/>
      <c r="ER14" s="27"/>
      <c r="ES14" s="27"/>
      <c r="ET14" s="27"/>
      <c r="EU14" s="27"/>
      <c r="EV14" s="27"/>
      <c r="EW14" s="27"/>
      <c r="EX14" s="27"/>
      <c r="EY14" s="27"/>
      <c r="EZ14" s="27"/>
      <c r="FA14" s="27"/>
      <c r="FB14" s="27"/>
      <c r="FC14" s="27"/>
      <c r="FD14" s="27"/>
      <c r="FE14" s="27"/>
      <c r="FF14" s="27"/>
      <c r="FG14" s="27"/>
      <c r="FH14" s="27"/>
      <c r="FI14" s="27"/>
      <c r="FJ14" s="27"/>
      <c r="FK14" s="27"/>
      <c r="FL14" s="27"/>
      <c r="FM14" s="27"/>
      <c r="FN14" s="27"/>
      <c r="FO14" s="27"/>
      <c r="FP14" s="27"/>
      <c r="FQ14" s="27"/>
      <c r="FR14" s="27"/>
    </row>
    <row r="15" spans="1:174" s="1" customFormat="1" ht="13.5" x14ac:dyDescent="0.35">
      <c r="B15" s="62"/>
      <c r="C15" s="12"/>
      <c r="E15" s="23"/>
      <c r="F15" s="5"/>
      <c r="G15" s="8"/>
      <c r="H15" s="29"/>
      <c r="I15" s="29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  <c r="BE15" s="27"/>
      <c r="BF15" s="27"/>
      <c r="BG15" s="27"/>
      <c r="BH15" s="27"/>
      <c r="BI15" s="27"/>
      <c r="BJ15" s="27"/>
      <c r="BK15" s="27"/>
      <c r="BL15" s="27"/>
      <c r="BM15" s="27"/>
      <c r="BN15" s="27"/>
      <c r="BO15" s="27"/>
      <c r="BP15" s="27"/>
      <c r="BQ15" s="27"/>
      <c r="BR15" s="27"/>
      <c r="BS15" s="27"/>
      <c r="BT15" s="27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7"/>
      <c r="CJ15" s="27"/>
      <c r="CK15" s="27"/>
      <c r="CL15" s="27"/>
      <c r="CM15" s="27"/>
      <c r="CN15" s="27"/>
      <c r="CO15" s="27"/>
      <c r="CP15" s="27"/>
      <c r="CQ15" s="27"/>
      <c r="CR15" s="27"/>
      <c r="CS15" s="27"/>
      <c r="CT15" s="27"/>
      <c r="CU15" s="27"/>
      <c r="CV15" s="27"/>
      <c r="CW15" s="27"/>
      <c r="CX15" s="27"/>
      <c r="CY15" s="27"/>
      <c r="CZ15" s="27"/>
      <c r="DA15" s="27"/>
      <c r="DB15" s="27"/>
      <c r="DC15" s="27"/>
      <c r="DD15" s="27"/>
      <c r="DE15" s="27"/>
      <c r="DF15" s="27"/>
      <c r="DG15" s="27"/>
      <c r="DH15" s="27"/>
      <c r="DI15" s="27"/>
      <c r="DJ15" s="27"/>
      <c r="DK15" s="27"/>
      <c r="DL15" s="27"/>
      <c r="DM15" s="27"/>
      <c r="DN15" s="27"/>
      <c r="DO15" s="27"/>
      <c r="DP15" s="27"/>
      <c r="DQ15" s="27"/>
      <c r="DR15" s="27"/>
      <c r="DS15" s="27"/>
      <c r="DT15" s="27"/>
      <c r="DU15" s="27"/>
      <c r="DV15" s="27"/>
      <c r="DW15" s="27"/>
      <c r="DX15" s="27"/>
      <c r="DY15" s="27"/>
      <c r="DZ15" s="27"/>
      <c r="EA15" s="27"/>
      <c r="EB15" s="27"/>
      <c r="EC15" s="27"/>
      <c r="ED15" s="27"/>
      <c r="EE15" s="27"/>
      <c r="EF15" s="27"/>
      <c r="EG15" s="27"/>
      <c r="EH15" s="27"/>
      <c r="EI15" s="27"/>
      <c r="EJ15" s="27"/>
      <c r="EK15" s="27"/>
      <c r="EL15" s="27"/>
      <c r="EM15" s="27"/>
      <c r="EN15" s="27"/>
      <c r="EO15" s="27"/>
      <c r="EP15" s="27"/>
      <c r="EQ15" s="27"/>
      <c r="ER15" s="27"/>
      <c r="ES15" s="27"/>
      <c r="ET15" s="27"/>
      <c r="EU15" s="27"/>
      <c r="EV15" s="27"/>
      <c r="EW15" s="27"/>
      <c r="EX15" s="27"/>
      <c r="EY15" s="27"/>
      <c r="EZ15" s="27"/>
      <c r="FA15" s="27"/>
      <c r="FB15" s="27"/>
      <c r="FC15" s="27"/>
      <c r="FD15" s="27"/>
      <c r="FE15" s="27"/>
      <c r="FF15" s="27"/>
      <c r="FG15" s="27"/>
      <c r="FH15" s="27"/>
      <c r="FI15" s="27"/>
      <c r="FJ15" s="27"/>
      <c r="FK15" s="27"/>
      <c r="FL15" s="27"/>
      <c r="FM15" s="27"/>
      <c r="FN15" s="27"/>
      <c r="FO15" s="27"/>
      <c r="FP15" s="27"/>
      <c r="FQ15" s="27"/>
      <c r="FR15" s="27"/>
    </row>
    <row r="16" spans="1:174" s="1" customFormat="1" ht="13.5" x14ac:dyDescent="0.35">
      <c r="B16" s="62"/>
      <c r="C16" s="12"/>
      <c r="E16" s="23"/>
      <c r="F16" s="5"/>
      <c r="G16" s="8"/>
      <c r="H16" s="29"/>
      <c r="I16" s="29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27"/>
      <c r="AD16" s="27"/>
      <c r="AE16" s="27"/>
      <c r="AF16" s="27"/>
      <c r="AG16" s="27"/>
      <c r="AH16" s="27"/>
      <c r="AI16" s="27"/>
      <c r="AJ16" s="27"/>
      <c r="AK16" s="27"/>
      <c r="AL16" s="27"/>
      <c r="AM16" s="27"/>
      <c r="AN16" s="27"/>
      <c r="AO16" s="27"/>
      <c r="AP16" s="27"/>
      <c r="AQ16" s="27"/>
      <c r="AR16" s="27"/>
      <c r="AS16" s="27"/>
      <c r="AT16" s="27"/>
      <c r="AU16" s="27"/>
      <c r="AV16" s="27"/>
      <c r="AW16" s="27"/>
      <c r="AX16" s="27"/>
      <c r="AY16" s="27"/>
      <c r="AZ16" s="27"/>
      <c r="BA16" s="27"/>
      <c r="BB16" s="27"/>
      <c r="BC16" s="27"/>
      <c r="BD16" s="27"/>
      <c r="BE16" s="27"/>
      <c r="BF16" s="27"/>
      <c r="BG16" s="27"/>
      <c r="BH16" s="27"/>
      <c r="BI16" s="27"/>
      <c r="BJ16" s="27"/>
      <c r="BK16" s="27"/>
      <c r="BL16" s="27"/>
      <c r="BM16" s="27"/>
      <c r="BN16" s="27"/>
      <c r="BO16" s="27"/>
      <c r="BP16" s="27"/>
      <c r="BQ16" s="27"/>
      <c r="BR16" s="27"/>
      <c r="BS16" s="27"/>
      <c r="BT16" s="27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7"/>
      <c r="CJ16" s="27"/>
      <c r="CK16" s="27"/>
      <c r="CL16" s="27"/>
      <c r="CM16" s="27"/>
      <c r="CN16" s="27"/>
      <c r="CO16" s="27"/>
      <c r="CP16" s="27"/>
      <c r="CQ16" s="27"/>
      <c r="CR16" s="27"/>
      <c r="CS16" s="27"/>
      <c r="CT16" s="27"/>
      <c r="CU16" s="27"/>
      <c r="CV16" s="27"/>
      <c r="CW16" s="27"/>
      <c r="CX16" s="27"/>
      <c r="CY16" s="27"/>
      <c r="CZ16" s="27"/>
      <c r="DA16" s="27"/>
      <c r="DB16" s="27"/>
      <c r="DC16" s="27"/>
      <c r="DD16" s="27"/>
      <c r="DE16" s="27"/>
      <c r="DF16" s="27"/>
      <c r="DG16" s="27"/>
      <c r="DH16" s="27"/>
      <c r="DI16" s="27"/>
      <c r="DJ16" s="27"/>
      <c r="DK16" s="27"/>
      <c r="DL16" s="27"/>
      <c r="DM16" s="27"/>
      <c r="DN16" s="27"/>
      <c r="DO16" s="27"/>
      <c r="DP16" s="27"/>
      <c r="DQ16" s="27"/>
      <c r="DR16" s="27"/>
      <c r="DS16" s="27"/>
      <c r="DT16" s="27"/>
      <c r="DU16" s="27"/>
      <c r="DV16" s="27"/>
      <c r="DW16" s="27"/>
      <c r="DX16" s="27"/>
      <c r="DY16" s="27"/>
      <c r="DZ16" s="27"/>
      <c r="EA16" s="27"/>
      <c r="EB16" s="27"/>
      <c r="EC16" s="27"/>
      <c r="ED16" s="27"/>
      <c r="EE16" s="27"/>
      <c r="EF16" s="27"/>
      <c r="EG16" s="27"/>
      <c r="EH16" s="27"/>
      <c r="EI16" s="27"/>
      <c r="EJ16" s="27"/>
      <c r="EK16" s="27"/>
      <c r="EL16" s="27"/>
      <c r="EM16" s="27"/>
      <c r="EN16" s="27"/>
      <c r="EO16" s="27"/>
      <c r="EP16" s="27"/>
      <c r="EQ16" s="27"/>
      <c r="ER16" s="27"/>
      <c r="ES16" s="27"/>
      <c r="ET16" s="27"/>
      <c r="EU16" s="27"/>
      <c r="EV16" s="27"/>
      <c r="EW16" s="27"/>
      <c r="EX16" s="27"/>
      <c r="EY16" s="27"/>
      <c r="EZ16" s="27"/>
      <c r="FA16" s="27"/>
      <c r="FB16" s="27"/>
      <c r="FC16" s="27"/>
      <c r="FD16" s="27"/>
      <c r="FE16" s="27"/>
      <c r="FF16" s="27"/>
      <c r="FG16" s="27"/>
      <c r="FH16" s="27"/>
      <c r="FI16" s="27"/>
      <c r="FJ16" s="27"/>
      <c r="FK16" s="27"/>
      <c r="FL16" s="27"/>
      <c r="FM16" s="27"/>
      <c r="FN16" s="27"/>
      <c r="FO16" s="27"/>
      <c r="FP16" s="27"/>
      <c r="FQ16" s="27"/>
      <c r="FR16" s="27"/>
    </row>
    <row r="17" spans="1:174" s="1" customFormat="1" ht="13.5" x14ac:dyDescent="0.35">
      <c r="F17" s="5"/>
      <c r="G17" s="8"/>
      <c r="H17" s="29"/>
      <c r="I17" s="29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27"/>
      <c r="AD17" s="27"/>
      <c r="AE17" s="27"/>
      <c r="AF17" s="27"/>
      <c r="AG17" s="27"/>
      <c r="AH17" s="27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27"/>
      <c r="AT17" s="27"/>
      <c r="AU17" s="27"/>
      <c r="AV17" s="27"/>
      <c r="AW17" s="27"/>
      <c r="AX17" s="27"/>
      <c r="AY17" s="27"/>
      <c r="AZ17" s="27"/>
      <c r="BA17" s="27"/>
      <c r="BB17" s="27"/>
      <c r="BC17" s="27"/>
      <c r="BD17" s="27"/>
      <c r="BE17" s="27"/>
      <c r="BF17" s="27"/>
      <c r="BG17" s="27"/>
      <c r="BH17" s="27"/>
      <c r="BI17" s="27"/>
      <c r="BJ17" s="27"/>
      <c r="BK17" s="27"/>
      <c r="BL17" s="27"/>
      <c r="BM17" s="27"/>
      <c r="BN17" s="27"/>
      <c r="BO17" s="27"/>
      <c r="BP17" s="27"/>
      <c r="BQ17" s="27"/>
      <c r="BR17" s="27"/>
      <c r="BS17" s="27"/>
      <c r="BT17" s="27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7"/>
      <c r="CJ17" s="27"/>
      <c r="CK17" s="27"/>
      <c r="CL17" s="27"/>
      <c r="CM17" s="27"/>
      <c r="CN17" s="27"/>
      <c r="CO17" s="27"/>
      <c r="CP17" s="27"/>
      <c r="CQ17" s="27"/>
      <c r="CR17" s="27"/>
      <c r="CS17" s="27"/>
      <c r="CT17" s="27"/>
      <c r="CU17" s="27"/>
      <c r="CV17" s="27"/>
      <c r="CW17" s="27"/>
      <c r="CX17" s="27"/>
      <c r="CY17" s="27"/>
      <c r="CZ17" s="27"/>
      <c r="DA17" s="27"/>
      <c r="DB17" s="27"/>
      <c r="DC17" s="27"/>
      <c r="DD17" s="27"/>
      <c r="DE17" s="27"/>
      <c r="DF17" s="27"/>
      <c r="DG17" s="27"/>
      <c r="DH17" s="27"/>
      <c r="DI17" s="27"/>
      <c r="DJ17" s="27"/>
      <c r="DK17" s="27"/>
      <c r="DL17" s="27"/>
      <c r="DM17" s="27"/>
      <c r="DN17" s="27"/>
      <c r="DO17" s="27"/>
      <c r="DP17" s="27"/>
      <c r="DQ17" s="27"/>
      <c r="DR17" s="27"/>
      <c r="DS17" s="27"/>
      <c r="DT17" s="27"/>
      <c r="DU17" s="27"/>
      <c r="DV17" s="27"/>
      <c r="DW17" s="27"/>
      <c r="DX17" s="27"/>
      <c r="DY17" s="27"/>
      <c r="DZ17" s="27"/>
      <c r="EA17" s="27"/>
      <c r="EB17" s="27"/>
      <c r="EC17" s="27"/>
      <c r="ED17" s="27"/>
      <c r="EE17" s="27"/>
      <c r="EF17" s="27"/>
      <c r="EG17" s="27"/>
      <c r="EH17" s="27"/>
      <c r="EI17" s="27"/>
      <c r="EJ17" s="27"/>
      <c r="EK17" s="27"/>
      <c r="EL17" s="27"/>
      <c r="EM17" s="27"/>
      <c r="EN17" s="27"/>
      <c r="EO17" s="27"/>
      <c r="EP17" s="27"/>
      <c r="EQ17" s="27"/>
      <c r="ER17" s="27"/>
      <c r="ES17" s="27"/>
      <c r="ET17" s="27"/>
      <c r="EU17" s="27"/>
      <c r="EV17" s="27"/>
      <c r="EW17" s="27"/>
      <c r="EX17" s="27"/>
      <c r="EY17" s="27"/>
      <c r="EZ17" s="27"/>
      <c r="FA17" s="27"/>
      <c r="FB17" s="27"/>
      <c r="FC17" s="27"/>
      <c r="FD17" s="27"/>
      <c r="FE17" s="27"/>
      <c r="FF17" s="27"/>
      <c r="FG17" s="27"/>
      <c r="FH17" s="27"/>
      <c r="FI17" s="27"/>
      <c r="FJ17" s="27"/>
      <c r="FK17" s="27"/>
      <c r="FL17" s="27"/>
      <c r="FM17" s="27"/>
      <c r="FN17" s="27"/>
      <c r="FO17" s="27"/>
      <c r="FP17" s="27"/>
      <c r="FQ17" s="27"/>
      <c r="FR17" s="27"/>
    </row>
    <row r="18" spans="1:174" x14ac:dyDescent="0.4">
      <c r="F18" s="5"/>
      <c r="H18" s="29"/>
      <c r="I18" s="29"/>
    </row>
    <row r="19" spans="1:174" x14ac:dyDescent="0.4">
      <c r="A19" s="24"/>
      <c r="B19" s="24"/>
      <c r="C19" s="24"/>
      <c r="D19" s="24"/>
      <c r="E19" s="24"/>
      <c r="F19" s="5"/>
      <c r="H19" s="29"/>
      <c r="I19" s="29"/>
    </row>
    <row r="20" spans="1:174" x14ac:dyDescent="0.4">
      <c r="I20" s="32"/>
    </row>
    <row r="21" spans="1:174" x14ac:dyDescent="0.4">
      <c r="I21" s="32"/>
    </row>
    <row r="22" spans="1:174" x14ac:dyDescent="0.4">
      <c r="I22" s="32"/>
    </row>
    <row r="23" spans="1:174" x14ac:dyDescent="0.4">
      <c r="I23" s="32"/>
    </row>
    <row r="24" spans="1:174" x14ac:dyDescent="0.4">
      <c r="I24" s="32"/>
    </row>
    <row r="25" spans="1:174" x14ac:dyDescent="0.4">
      <c r="I25" s="32"/>
    </row>
    <row r="26" spans="1:174" x14ac:dyDescent="0.4">
      <c r="I26" s="32"/>
    </row>
    <row r="27" spans="1:174" x14ac:dyDescent="0.4">
      <c r="I27" s="32"/>
    </row>
    <row r="28" spans="1:174" x14ac:dyDescent="0.4">
      <c r="I28" s="32"/>
    </row>
    <row r="29" spans="1:174" x14ac:dyDescent="0.4">
      <c r="I29" s="32"/>
    </row>
    <row r="30" spans="1:174" x14ac:dyDescent="0.4">
      <c r="I30" s="32"/>
    </row>
    <row r="31" spans="1:174" x14ac:dyDescent="0.4">
      <c r="I31" s="32"/>
    </row>
    <row r="32" spans="1:174" x14ac:dyDescent="0.4">
      <c r="I32" s="32"/>
    </row>
    <row r="33" spans="9:9" x14ac:dyDescent="0.4">
      <c r="I33" s="32"/>
    </row>
    <row r="34" spans="9:9" x14ac:dyDescent="0.4">
      <c r="I34" s="32"/>
    </row>
    <row r="35" spans="9:9" x14ac:dyDescent="0.4">
      <c r="I35" s="32"/>
    </row>
    <row r="36" spans="9:9" x14ac:dyDescent="0.4">
      <c r="I36" s="32"/>
    </row>
    <row r="37" spans="9:9" x14ac:dyDescent="0.4">
      <c r="I37" s="32"/>
    </row>
    <row r="38" spans="9:9" x14ac:dyDescent="0.4">
      <c r="I38" s="32"/>
    </row>
    <row r="39" spans="9:9" x14ac:dyDescent="0.4">
      <c r="I39" s="32"/>
    </row>
    <row r="40" spans="9:9" x14ac:dyDescent="0.4">
      <c r="I40" s="32"/>
    </row>
    <row r="41" spans="9:9" x14ac:dyDescent="0.4">
      <c r="I41" s="32"/>
    </row>
    <row r="42" spans="9:9" x14ac:dyDescent="0.4">
      <c r="I42" s="32"/>
    </row>
    <row r="43" spans="9:9" x14ac:dyDescent="0.4">
      <c r="I43" s="32"/>
    </row>
    <row r="44" spans="9:9" x14ac:dyDescent="0.4">
      <c r="I44" s="32"/>
    </row>
    <row r="45" spans="9:9" x14ac:dyDescent="0.4">
      <c r="I45" s="32"/>
    </row>
    <row r="46" spans="9:9" x14ac:dyDescent="0.4">
      <c r="I46" s="32"/>
    </row>
    <row r="47" spans="9:9" x14ac:dyDescent="0.4">
      <c r="I47" s="32"/>
    </row>
    <row r="48" spans="9:9" x14ac:dyDescent="0.4">
      <c r="I48" s="32"/>
    </row>
    <row r="49" spans="9:9" x14ac:dyDescent="0.4">
      <c r="I49" s="32"/>
    </row>
    <row r="50" spans="9:9" x14ac:dyDescent="0.4">
      <c r="I50" s="32"/>
    </row>
    <row r="51" spans="9:9" x14ac:dyDescent="0.4">
      <c r="I51" s="32"/>
    </row>
    <row r="52" spans="9:9" x14ac:dyDescent="0.4">
      <c r="I52" s="32"/>
    </row>
    <row r="53" spans="9:9" x14ac:dyDescent="0.4">
      <c r="I53" s="32"/>
    </row>
    <row r="54" spans="9:9" x14ac:dyDescent="0.4">
      <c r="I54" s="32"/>
    </row>
    <row r="55" spans="9:9" x14ac:dyDescent="0.4">
      <c r="I55" s="32"/>
    </row>
    <row r="56" spans="9:9" x14ac:dyDescent="0.4">
      <c r="I56" s="32"/>
    </row>
    <row r="57" spans="9:9" x14ac:dyDescent="0.4">
      <c r="I57" s="32"/>
    </row>
    <row r="58" spans="9:9" x14ac:dyDescent="0.4">
      <c r="I58" s="32"/>
    </row>
    <row r="59" spans="9:9" x14ac:dyDescent="0.4">
      <c r="I59" s="32"/>
    </row>
    <row r="60" spans="9:9" x14ac:dyDescent="0.4">
      <c r="I60" s="32"/>
    </row>
    <row r="61" spans="9:9" x14ac:dyDescent="0.4">
      <c r="I61" s="32"/>
    </row>
    <row r="62" spans="9:9" x14ac:dyDescent="0.4">
      <c r="I62" s="32"/>
    </row>
    <row r="63" spans="9:9" x14ac:dyDescent="0.4">
      <c r="I63" s="32"/>
    </row>
    <row r="64" spans="9:9" x14ac:dyDescent="0.4">
      <c r="I64" s="32"/>
    </row>
    <row r="65" spans="9:9" x14ac:dyDescent="0.4">
      <c r="I65" s="32"/>
    </row>
    <row r="66" spans="9:9" x14ac:dyDescent="0.4">
      <c r="I66" s="32"/>
    </row>
    <row r="67" spans="9:9" x14ac:dyDescent="0.4">
      <c r="I67" s="32"/>
    </row>
    <row r="68" spans="9:9" x14ac:dyDescent="0.4">
      <c r="I68" s="32"/>
    </row>
    <row r="69" spans="9:9" x14ac:dyDescent="0.4">
      <c r="I69" s="32"/>
    </row>
    <row r="70" spans="9:9" x14ac:dyDescent="0.4">
      <c r="I70" s="32"/>
    </row>
    <row r="71" spans="9:9" x14ac:dyDescent="0.4">
      <c r="I71" s="32"/>
    </row>
    <row r="72" spans="9:9" x14ac:dyDescent="0.4">
      <c r="I72" s="32"/>
    </row>
    <row r="73" spans="9:9" x14ac:dyDescent="0.4">
      <c r="I73" s="32"/>
    </row>
    <row r="74" spans="9:9" x14ac:dyDescent="0.4">
      <c r="I74" s="32"/>
    </row>
    <row r="75" spans="9:9" x14ac:dyDescent="0.4">
      <c r="I75" s="32"/>
    </row>
    <row r="76" spans="9:9" x14ac:dyDescent="0.4">
      <c r="I76" s="32"/>
    </row>
    <row r="77" spans="9:9" x14ac:dyDescent="0.4">
      <c r="I77" s="32"/>
    </row>
    <row r="78" spans="9:9" x14ac:dyDescent="0.4">
      <c r="I78" s="32"/>
    </row>
    <row r="79" spans="9:9" x14ac:dyDescent="0.4">
      <c r="I79" s="32"/>
    </row>
    <row r="80" spans="9:9" x14ac:dyDescent="0.4">
      <c r="I80" s="32"/>
    </row>
    <row r="81" spans="9:9" x14ac:dyDescent="0.4">
      <c r="I81" s="32"/>
    </row>
    <row r="82" spans="9:9" x14ac:dyDescent="0.4">
      <c r="I82" s="32"/>
    </row>
    <row r="83" spans="9:9" x14ac:dyDescent="0.4">
      <c r="I83" s="32"/>
    </row>
    <row r="84" spans="9:9" x14ac:dyDescent="0.4">
      <c r="I84" s="32"/>
    </row>
    <row r="85" spans="9:9" x14ac:dyDescent="0.4">
      <c r="I85" s="32"/>
    </row>
    <row r="86" spans="9:9" x14ac:dyDescent="0.4">
      <c r="I86" s="32"/>
    </row>
    <row r="87" spans="9:9" x14ac:dyDescent="0.4">
      <c r="I87" s="32"/>
    </row>
    <row r="88" spans="9:9" x14ac:dyDescent="0.4">
      <c r="I88" s="32"/>
    </row>
    <row r="89" spans="9:9" x14ac:dyDescent="0.4">
      <c r="I89" s="32"/>
    </row>
    <row r="90" spans="9:9" x14ac:dyDescent="0.4">
      <c r="I90" s="32"/>
    </row>
    <row r="91" spans="9:9" x14ac:dyDescent="0.4">
      <c r="I91" s="32"/>
    </row>
    <row r="92" spans="9:9" x14ac:dyDescent="0.4">
      <c r="I92" s="32"/>
    </row>
    <row r="93" spans="9:9" x14ac:dyDescent="0.4">
      <c r="I93" s="32"/>
    </row>
    <row r="94" spans="9:9" x14ac:dyDescent="0.4">
      <c r="I94" s="32"/>
    </row>
    <row r="95" spans="9:9" x14ac:dyDescent="0.4">
      <c r="I95" s="32"/>
    </row>
    <row r="96" spans="9:9" x14ac:dyDescent="0.4">
      <c r="I96" s="32"/>
    </row>
    <row r="97" spans="9:9" x14ac:dyDescent="0.4">
      <c r="I97" s="32"/>
    </row>
    <row r="98" spans="9:9" x14ac:dyDescent="0.4">
      <c r="I98" s="32"/>
    </row>
    <row r="99" spans="9:9" x14ac:dyDescent="0.4">
      <c r="I99" s="32"/>
    </row>
    <row r="100" spans="9:9" x14ac:dyDescent="0.4">
      <c r="I100" s="32"/>
    </row>
    <row r="101" spans="9:9" x14ac:dyDescent="0.4">
      <c r="I101" s="32"/>
    </row>
    <row r="102" spans="9:9" x14ac:dyDescent="0.4">
      <c r="I102" s="32"/>
    </row>
    <row r="103" spans="9:9" x14ac:dyDescent="0.4">
      <c r="I103" s="32"/>
    </row>
    <row r="104" spans="9:9" x14ac:dyDescent="0.4">
      <c r="I104" s="32"/>
    </row>
    <row r="105" spans="9:9" x14ac:dyDescent="0.4">
      <c r="I105" s="32"/>
    </row>
    <row r="106" spans="9:9" x14ac:dyDescent="0.4">
      <c r="I106" s="32"/>
    </row>
    <row r="107" spans="9:9" x14ac:dyDescent="0.4">
      <c r="I107" s="32"/>
    </row>
    <row r="108" spans="9:9" x14ac:dyDescent="0.4">
      <c r="I108" s="32"/>
    </row>
    <row r="109" spans="9:9" x14ac:dyDescent="0.4">
      <c r="I109" s="32"/>
    </row>
    <row r="110" spans="9:9" x14ac:dyDescent="0.4">
      <c r="I110" s="32"/>
    </row>
    <row r="111" spans="9:9" x14ac:dyDescent="0.4">
      <c r="I111" s="32"/>
    </row>
    <row r="112" spans="9:9" x14ac:dyDescent="0.4">
      <c r="I112" s="32"/>
    </row>
    <row r="113" spans="9:9" x14ac:dyDescent="0.4">
      <c r="I113" s="32"/>
    </row>
    <row r="114" spans="9:9" x14ac:dyDescent="0.4">
      <c r="I114" s="32"/>
    </row>
    <row r="115" spans="9:9" x14ac:dyDescent="0.4">
      <c r="I115" s="32"/>
    </row>
    <row r="116" spans="9:9" x14ac:dyDescent="0.4">
      <c r="I116" s="32"/>
    </row>
    <row r="117" spans="9:9" x14ac:dyDescent="0.4">
      <c r="I117" s="32"/>
    </row>
    <row r="118" spans="9:9" x14ac:dyDescent="0.4">
      <c r="I118" s="32"/>
    </row>
    <row r="119" spans="9:9" x14ac:dyDescent="0.4">
      <c r="I119" s="32"/>
    </row>
    <row r="120" spans="9:9" x14ac:dyDescent="0.4">
      <c r="I120" s="32"/>
    </row>
    <row r="121" spans="9:9" x14ac:dyDescent="0.4">
      <c r="I121" s="32"/>
    </row>
    <row r="122" spans="9:9" x14ac:dyDescent="0.4">
      <c r="I122" s="32"/>
    </row>
    <row r="123" spans="9:9" x14ac:dyDescent="0.4">
      <c r="I123" s="32"/>
    </row>
    <row r="124" spans="9:9" x14ac:dyDescent="0.4">
      <c r="I124" s="32"/>
    </row>
    <row r="125" spans="9:9" x14ac:dyDescent="0.4">
      <c r="I125" s="32"/>
    </row>
    <row r="126" spans="9:9" x14ac:dyDescent="0.4">
      <c r="I126" s="32"/>
    </row>
    <row r="127" spans="9:9" x14ac:dyDescent="0.4">
      <c r="I127" s="32"/>
    </row>
    <row r="128" spans="9:9" x14ac:dyDescent="0.4">
      <c r="I128" s="32"/>
    </row>
    <row r="129" spans="9:9" x14ac:dyDescent="0.4">
      <c r="I129" s="32"/>
    </row>
    <row r="130" spans="9:9" x14ac:dyDescent="0.4">
      <c r="I130" s="32"/>
    </row>
    <row r="131" spans="9:9" x14ac:dyDescent="0.4">
      <c r="I131" s="32"/>
    </row>
    <row r="132" spans="9:9" x14ac:dyDescent="0.4">
      <c r="I132" s="32"/>
    </row>
    <row r="133" spans="9:9" x14ac:dyDescent="0.4">
      <c r="I133" s="32"/>
    </row>
    <row r="134" spans="9:9" x14ac:dyDescent="0.4">
      <c r="I134" s="32"/>
    </row>
    <row r="135" spans="9:9" x14ac:dyDescent="0.4">
      <c r="I135" s="32"/>
    </row>
    <row r="136" spans="9:9" x14ac:dyDescent="0.4">
      <c r="I136" s="32"/>
    </row>
    <row r="137" spans="9:9" x14ac:dyDescent="0.4">
      <c r="I137" s="32"/>
    </row>
    <row r="138" spans="9:9" x14ac:dyDescent="0.4">
      <c r="I138" s="32"/>
    </row>
    <row r="139" spans="9:9" x14ac:dyDescent="0.4">
      <c r="I139" s="32"/>
    </row>
    <row r="140" spans="9:9" x14ac:dyDescent="0.4">
      <c r="I140" s="32"/>
    </row>
    <row r="141" spans="9:9" x14ac:dyDescent="0.4">
      <c r="I141" s="32"/>
    </row>
    <row r="142" spans="9:9" x14ac:dyDescent="0.4">
      <c r="I142" s="32"/>
    </row>
    <row r="143" spans="9:9" x14ac:dyDescent="0.4">
      <c r="I143" s="32"/>
    </row>
    <row r="144" spans="9:9" x14ac:dyDescent="0.4">
      <c r="I144" s="32"/>
    </row>
    <row r="145" spans="9:9" x14ac:dyDescent="0.4">
      <c r="I145" s="32"/>
    </row>
    <row r="146" spans="9:9" x14ac:dyDescent="0.4">
      <c r="I146" s="32"/>
    </row>
    <row r="147" spans="9:9" x14ac:dyDescent="0.4">
      <c r="I147" s="32"/>
    </row>
    <row r="148" spans="9:9" x14ac:dyDescent="0.4">
      <c r="I148" s="32"/>
    </row>
    <row r="149" spans="9:9" x14ac:dyDescent="0.4">
      <c r="I149" s="32"/>
    </row>
    <row r="150" spans="9:9" x14ac:dyDescent="0.4">
      <c r="I150" s="32"/>
    </row>
    <row r="151" spans="9:9" x14ac:dyDescent="0.4">
      <c r="I151" s="32"/>
    </row>
    <row r="152" spans="9:9" x14ac:dyDescent="0.4">
      <c r="I152" s="32"/>
    </row>
    <row r="153" spans="9:9" x14ac:dyDescent="0.4">
      <c r="I153" s="32"/>
    </row>
    <row r="154" spans="9:9" x14ac:dyDescent="0.4">
      <c r="I154" s="32"/>
    </row>
    <row r="155" spans="9:9" x14ac:dyDescent="0.4">
      <c r="I155" s="32"/>
    </row>
    <row r="156" spans="9:9" x14ac:dyDescent="0.4">
      <c r="I156" s="32"/>
    </row>
    <row r="157" spans="9:9" x14ac:dyDescent="0.4">
      <c r="I157" s="32"/>
    </row>
    <row r="158" spans="9:9" x14ac:dyDescent="0.4">
      <c r="I158" s="32"/>
    </row>
    <row r="159" spans="9:9" x14ac:dyDescent="0.4">
      <c r="I159" s="32"/>
    </row>
    <row r="160" spans="9:9" x14ac:dyDescent="0.4">
      <c r="I160" s="32"/>
    </row>
    <row r="161" spans="9:9" x14ac:dyDescent="0.4">
      <c r="I161" s="32"/>
    </row>
    <row r="162" spans="9:9" x14ac:dyDescent="0.4">
      <c r="I162" s="32"/>
    </row>
    <row r="163" spans="9:9" x14ac:dyDescent="0.4">
      <c r="I163" s="32"/>
    </row>
    <row r="164" spans="9:9" x14ac:dyDescent="0.4">
      <c r="I164" s="32"/>
    </row>
    <row r="165" spans="9:9" x14ac:dyDescent="0.4">
      <c r="I165" s="32"/>
    </row>
    <row r="166" spans="9:9" x14ac:dyDescent="0.4">
      <c r="I166" s="32"/>
    </row>
    <row r="167" spans="9:9" x14ac:dyDescent="0.4">
      <c r="I167" s="32"/>
    </row>
    <row r="168" spans="9:9" x14ac:dyDescent="0.4">
      <c r="I168" s="32"/>
    </row>
    <row r="169" spans="9:9" x14ac:dyDescent="0.4">
      <c r="I169" s="32"/>
    </row>
    <row r="170" spans="9:9" x14ac:dyDescent="0.4">
      <c r="I170" s="32"/>
    </row>
    <row r="171" spans="9:9" x14ac:dyDescent="0.4">
      <c r="I171" s="32"/>
    </row>
    <row r="172" spans="9:9" x14ac:dyDescent="0.4">
      <c r="I172" s="32"/>
    </row>
    <row r="173" spans="9:9" x14ac:dyDescent="0.4">
      <c r="I173" s="32"/>
    </row>
    <row r="174" spans="9:9" x14ac:dyDescent="0.4">
      <c r="I174" s="32"/>
    </row>
    <row r="175" spans="9:9" x14ac:dyDescent="0.4">
      <c r="I175" s="32"/>
    </row>
    <row r="176" spans="9:9" x14ac:dyDescent="0.4">
      <c r="I176" s="32"/>
    </row>
    <row r="177" spans="9:9" x14ac:dyDescent="0.4">
      <c r="I177" s="32"/>
    </row>
    <row r="178" spans="9:9" x14ac:dyDescent="0.4">
      <c r="I178" s="32"/>
    </row>
    <row r="179" spans="9:9" x14ac:dyDescent="0.4">
      <c r="I179" s="32"/>
    </row>
    <row r="180" spans="9:9" x14ac:dyDescent="0.4">
      <c r="I180" s="32"/>
    </row>
    <row r="181" spans="9:9" x14ac:dyDescent="0.4">
      <c r="I181" s="32"/>
    </row>
    <row r="182" spans="9:9" x14ac:dyDescent="0.4">
      <c r="I182" s="32"/>
    </row>
    <row r="183" spans="9:9" x14ac:dyDescent="0.4">
      <c r="I183" s="32"/>
    </row>
    <row r="184" spans="9:9" x14ac:dyDescent="0.4">
      <c r="I184" s="32"/>
    </row>
    <row r="185" spans="9:9" x14ac:dyDescent="0.4">
      <c r="I185" s="32"/>
    </row>
    <row r="186" spans="9:9" x14ac:dyDescent="0.4">
      <c r="I186" s="32"/>
    </row>
    <row r="187" spans="9:9" x14ac:dyDescent="0.4">
      <c r="I187" s="32"/>
    </row>
    <row r="188" spans="9:9" x14ac:dyDescent="0.4">
      <c r="I188" s="32"/>
    </row>
    <row r="189" spans="9:9" x14ac:dyDescent="0.4">
      <c r="I189" s="32"/>
    </row>
    <row r="190" spans="9:9" x14ac:dyDescent="0.4">
      <c r="I190" s="32"/>
    </row>
    <row r="191" spans="9:9" x14ac:dyDescent="0.4">
      <c r="I191" s="32"/>
    </row>
    <row r="192" spans="9:9" x14ac:dyDescent="0.4">
      <c r="I192" s="32"/>
    </row>
    <row r="193" spans="9:9" x14ac:dyDescent="0.4">
      <c r="I193" s="32"/>
    </row>
    <row r="194" spans="9:9" x14ac:dyDescent="0.4">
      <c r="I194" s="32"/>
    </row>
    <row r="195" spans="9:9" x14ac:dyDescent="0.4">
      <c r="I195" s="32"/>
    </row>
    <row r="196" spans="9:9" x14ac:dyDescent="0.4">
      <c r="I196" s="32"/>
    </row>
    <row r="197" spans="9:9" x14ac:dyDescent="0.4">
      <c r="I197" s="32"/>
    </row>
    <row r="198" spans="9:9" x14ac:dyDescent="0.4">
      <c r="I198" s="32"/>
    </row>
    <row r="199" spans="9:9" x14ac:dyDescent="0.4">
      <c r="I199" s="32"/>
    </row>
    <row r="200" spans="9:9" x14ac:dyDescent="0.4">
      <c r="I200" s="32"/>
    </row>
    <row r="201" spans="9:9" x14ac:dyDescent="0.4">
      <c r="I201" s="32"/>
    </row>
    <row r="202" spans="9:9" x14ac:dyDescent="0.4">
      <c r="I202" s="32"/>
    </row>
    <row r="203" spans="9:9" x14ac:dyDescent="0.4">
      <c r="I203" s="32"/>
    </row>
    <row r="204" spans="9:9" x14ac:dyDescent="0.4">
      <c r="I204" s="32"/>
    </row>
    <row r="205" spans="9:9" x14ac:dyDescent="0.4">
      <c r="I205" s="32"/>
    </row>
    <row r="206" spans="9:9" x14ac:dyDescent="0.4">
      <c r="I206" s="32"/>
    </row>
    <row r="207" spans="9:9" x14ac:dyDescent="0.4">
      <c r="I207" s="32"/>
    </row>
    <row r="208" spans="9:9" x14ac:dyDescent="0.4">
      <c r="I208" s="32"/>
    </row>
    <row r="209" spans="9:9" x14ac:dyDescent="0.4">
      <c r="I209" s="32"/>
    </row>
    <row r="210" spans="9:9" x14ac:dyDescent="0.4">
      <c r="I210" s="32"/>
    </row>
    <row r="211" spans="9:9" x14ac:dyDescent="0.4">
      <c r="I211" s="32"/>
    </row>
    <row r="212" spans="9:9" x14ac:dyDescent="0.4">
      <c r="I212" s="32"/>
    </row>
    <row r="213" spans="9:9" x14ac:dyDescent="0.4">
      <c r="I213" s="32"/>
    </row>
    <row r="214" spans="9:9" x14ac:dyDescent="0.4">
      <c r="I214" s="32"/>
    </row>
    <row r="215" spans="9:9" x14ac:dyDescent="0.4">
      <c r="I215" s="32"/>
    </row>
    <row r="216" spans="9:9" x14ac:dyDescent="0.4">
      <c r="I216" s="32"/>
    </row>
    <row r="217" spans="9:9" x14ac:dyDescent="0.4">
      <c r="I217" s="32"/>
    </row>
    <row r="218" spans="9:9" x14ac:dyDescent="0.4">
      <c r="I218" s="32"/>
    </row>
    <row r="219" spans="9:9" x14ac:dyDescent="0.4">
      <c r="I219" s="32"/>
    </row>
    <row r="220" spans="9:9" x14ac:dyDescent="0.4">
      <c r="I220" s="32"/>
    </row>
    <row r="221" spans="9:9" x14ac:dyDescent="0.4">
      <c r="I221" s="32"/>
    </row>
    <row r="222" spans="9:9" x14ac:dyDescent="0.4">
      <c r="I222" s="32"/>
    </row>
    <row r="223" spans="9:9" x14ac:dyDescent="0.4">
      <c r="I223" s="32"/>
    </row>
    <row r="224" spans="9:9" x14ac:dyDescent="0.4">
      <c r="I224" s="32"/>
    </row>
    <row r="225" spans="9:9" x14ac:dyDescent="0.4">
      <c r="I225" s="32"/>
    </row>
    <row r="226" spans="9:9" x14ac:dyDescent="0.4">
      <c r="I226" s="32"/>
    </row>
    <row r="227" spans="9:9" x14ac:dyDescent="0.4">
      <c r="I227" s="32"/>
    </row>
    <row r="228" spans="9:9" x14ac:dyDescent="0.4">
      <c r="I228" s="32"/>
    </row>
    <row r="229" spans="9:9" x14ac:dyDescent="0.4">
      <c r="I229" s="32"/>
    </row>
    <row r="230" spans="9:9" x14ac:dyDescent="0.4">
      <c r="I230" s="32"/>
    </row>
    <row r="231" spans="9:9" x14ac:dyDescent="0.4">
      <c r="I231" s="32"/>
    </row>
    <row r="232" spans="9:9" x14ac:dyDescent="0.4">
      <c r="I232" s="32"/>
    </row>
    <row r="233" spans="9:9" x14ac:dyDescent="0.4">
      <c r="I233" s="32"/>
    </row>
    <row r="234" spans="9:9" x14ac:dyDescent="0.4">
      <c r="I234" s="32"/>
    </row>
    <row r="235" spans="9:9" x14ac:dyDescent="0.4">
      <c r="I235" s="32"/>
    </row>
    <row r="236" spans="9:9" x14ac:dyDescent="0.4">
      <c r="I236" s="32"/>
    </row>
    <row r="237" spans="9:9" x14ac:dyDescent="0.4">
      <c r="I237" s="32"/>
    </row>
    <row r="238" spans="9:9" x14ac:dyDescent="0.4">
      <c r="I238" s="32"/>
    </row>
    <row r="239" spans="9:9" x14ac:dyDescent="0.4">
      <c r="I239" s="32"/>
    </row>
    <row r="240" spans="9:9" x14ac:dyDescent="0.4">
      <c r="I240" s="32"/>
    </row>
    <row r="241" spans="9:9" x14ac:dyDescent="0.4">
      <c r="I241" s="32"/>
    </row>
    <row r="242" spans="9:9" x14ac:dyDescent="0.4">
      <c r="I242" s="32"/>
    </row>
    <row r="243" spans="9:9" x14ac:dyDescent="0.4">
      <c r="I243" s="32"/>
    </row>
    <row r="244" spans="9:9" x14ac:dyDescent="0.4">
      <c r="I244" s="32"/>
    </row>
    <row r="245" spans="9:9" x14ac:dyDescent="0.4">
      <c r="I245" s="32"/>
    </row>
    <row r="246" spans="9:9" x14ac:dyDescent="0.4">
      <c r="I246" s="32"/>
    </row>
    <row r="247" spans="9:9" x14ac:dyDescent="0.4">
      <c r="I247" s="32"/>
    </row>
    <row r="248" spans="9:9" x14ac:dyDescent="0.4">
      <c r="I248" s="32"/>
    </row>
    <row r="249" spans="9:9" x14ac:dyDescent="0.4">
      <c r="I249" s="32"/>
    </row>
    <row r="250" spans="9:9" x14ac:dyDescent="0.4">
      <c r="I250" s="32"/>
    </row>
    <row r="251" spans="9:9" x14ac:dyDescent="0.4">
      <c r="I251" s="32"/>
    </row>
    <row r="252" spans="9:9" x14ac:dyDescent="0.4">
      <c r="I252" s="32"/>
    </row>
    <row r="253" spans="9:9" x14ac:dyDescent="0.4">
      <c r="I253" s="32"/>
    </row>
    <row r="254" spans="9:9" x14ac:dyDescent="0.4">
      <c r="I254" s="32"/>
    </row>
    <row r="255" spans="9:9" x14ac:dyDescent="0.4">
      <c r="I255" s="32"/>
    </row>
    <row r="256" spans="9:9" x14ac:dyDescent="0.4">
      <c r="I256" s="32"/>
    </row>
    <row r="257" spans="9:9" x14ac:dyDescent="0.4">
      <c r="I257" s="32"/>
    </row>
    <row r="258" spans="9:9" x14ac:dyDescent="0.4">
      <c r="I258" s="32"/>
    </row>
    <row r="259" spans="9:9" x14ac:dyDescent="0.4">
      <c r="I259" s="32"/>
    </row>
    <row r="260" spans="9:9" x14ac:dyDescent="0.4">
      <c r="I260" s="32"/>
    </row>
    <row r="261" spans="9:9" x14ac:dyDescent="0.4">
      <c r="I261" s="32"/>
    </row>
    <row r="262" spans="9:9" x14ac:dyDescent="0.4">
      <c r="I262" s="32"/>
    </row>
    <row r="263" spans="9:9" x14ac:dyDescent="0.4">
      <c r="I263" s="32"/>
    </row>
    <row r="264" spans="9:9" x14ac:dyDescent="0.4">
      <c r="I264" s="32"/>
    </row>
    <row r="265" spans="9:9" x14ac:dyDescent="0.4">
      <c r="I265" s="32"/>
    </row>
    <row r="266" spans="9:9" x14ac:dyDescent="0.4">
      <c r="I266" s="32"/>
    </row>
    <row r="267" spans="9:9" x14ac:dyDescent="0.4">
      <c r="I267" s="32"/>
    </row>
    <row r="268" spans="9:9" x14ac:dyDescent="0.4">
      <c r="I268" s="32"/>
    </row>
    <row r="269" spans="9:9" x14ac:dyDescent="0.4">
      <c r="I269" s="32"/>
    </row>
    <row r="270" spans="9:9" x14ac:dyDescent="0.4">
      <c r="I270" s="32"/>
    </row>
    <row r="271" spans="9:9" x14ac:dyDescent="0.4">
      <c r="I271" s="32"/>
    </row>
    <row r="272" spans="9:9" x14ac:dyDescent="0.4">
      <c r="I272" s="32"/>
    </row>
    <row r="273" spans="9:9" x14ac:dyDescent="0.4">
      <c r="I273" s="32"/>
    </row>
    <row r="274" spans="9:9" x14ac:dyDescent="0.4">
      <c r="I274" s="32"/>
    </row>
    <row r="275" spans="9:9" x14ac:dyDescent="0.4">
      <c r="I275" s="32"/>
    </row>
    <row r="276" spans="9:9" x14ac:dyDescent="0.4">
      <c r="I276" s="32"/>
    </row>
    <row r="277" spans="9:9" x14ac:dyDescent="0.4">
      <c r="I277" s="32"/>
    </row>
    <row r="278" spans="9:9" x14ac:dyDescent="0.4">
      <c r="I278" s="32"/>
    </row>
    <row r="279" spans="9:9" x14ac:dyDescent="0.4">
      <c r="I279" s="32"/>
    </row>
    <row r="280" spans="9:9" x14ac:dyDescent="0.4">
      <c r="I280" s="32"/>
    </row>
    <row r="281" spans="9:9" x14ac:dyDescent="0.4">
      <c r="I281" s="32"/>
    </row>
    <row r="282" spans="9:9" x14ac:dyDescent="0.4">
      <c r="I282" s="32"/>
    </row>
    <row r="283" spans="9:9" x14ac:dyDescent="0.4">
      <c r="I283" s="32"/>
    </row>
    <row r="284" spans="9:9" x14ac:dyDescent="0.4">
      <c r="I284" s="32"/>
    </row>
    <row r="285" spans="9:9" x14ac:dyDescent="0.4">
      <c r="I285" s="32"/>
    </row>
    <row r="286" spans="9:9" x14ac:dyDescent="0.4">
      <c r="I286" s="32"/>
    </row>
    <row r="287" spans="9:9" x14ac:dyDescent="0.4">
      <c r="I287" s="32"/>
    </row>
    <row r="288" spans="9:9" x14ac:dyDescent="0.4">
      <c r="I288" s="32"/>
    </row>
    <row r="289" spans="9:9" x14ac:dyDescent="0.4">
      <c r="I289" s="32"/>
    </row>
    <row r="290" spans="9:9" x14ac:dyDescent="0.4">
      <c r="I290" s="32"/>
    </row>
    <row r="291" spans="9:9" x14ac:dyDescent="0.4">
      <c r="I291" s="32"/>
    </row>
    <row r="292" spans="9:9" x14ac:dyDescent="0.4">
      <c r="I292" s="32"/>
    </row>
    <row r="293" spans="9:9" x14ac:dyDescent="0.4">
      <c r="I293" s="32"/>
    </row>
    <row r="294" spans="9:9" x14ac:dyDescent="0.4">
      <c r="I294" s="32"/>
    </row>
    <row r="295" spans="9:9" x14ac:dyDescent="0.4">
      <c r="I295" s="32"/>
    </row>
    <row r="296" spans="9:9" x14ac:dyDescent="0.4">
      <c r="I296" s="32"/>
    </row>
    <row r="297" spans="9:9" x14ac:dyDescent="0.4">
      <c r="I297" s="32"/>
    </row>
    <row r="298" spans="9:9" x14ac:dyDescent="0.4">
      <c r="I298" s="32"/>
    </row>
    <row r="299" spans="9:9" x14ac:dyDescent="0.4">
      <c r="I299" s="32"/>
    </row>
    <row r="300" spans="9:9" x14ac:dyDescent="0.4">
      <c r="I300" s="32"/>
    </row>
    <row r="301" spans="9:9" x14ac:dyDescent="0.4">
      <c r="I301" s="32"/>
    </row>
    <row r="302" spans="9:9" x14ac:dyDescent="0.4">
      <c r="I302" s="32"/>
    </row>
    <row r="303" spans="9:9" x14ac:dyDescent="0.4">
      <c r="I303" s="32"/>
    </row>
    <row r="304" spans="9:9" x14ac:dyDescent="0.4">
      <c r="I304" s="32"/>
    </row>
    <row r="305" spans="9:9" x14ac:dyDescent="0.4">
      <c r="I305" s="32"/>
    </row>
    <row r="306" spans="9:9" x14ac:dyDescent="0.4">
      <c r="I306" s="32"/>
    </row>
    <row r="307" spans="9:9" x14ac:dyDescent="0.4">
      <c r="I307" s="32"/>
    </row>
    <row r="308" spans="9:9" x14ac:dyDescent="0.4">
      <c r="I308" s="32"/>
    </row>
    <row r="309" spans="9:9" x14ac:dyDescent="0.4">
      <c r="I309" s="32"/>
    </row>
    <row r="310" spans="9:9" x14ac:dyDescent="0.4">
      <c r="I310" s="32"/>
    </row>
    <row r="311" spans="9:9" x14ac:dyDescent="0.4">
      <c r="I311" s="32"/>
    </row>
    <row r="312" spans="9:9" x14ac:dyDescent="0.4">
      <c r="I312" s="32"/>
    </row>
    <row r="313" spans="9:9" x14ac:dyDescent="0.4">
      <c r="I313" s="32"/>
    </row>
    <row r="314" spans="9:9" x14ac:dyDescent="0.4">
      <c r="I314" s="32"/>
    </row>
    <row r="315" spans="9:9" x14ac:dyDescent="0.4">
      <c r="I315" s="32"/>
    </row>
    <row r="316" spans="9:9" x14ac:dyDescent="0.4">
      <c r="I316" s="32"/>
    </row>
    <row r="317" spans="9:9" x14ac:dyDescent="0.4">
      <c r="I317" s="32"/>
    </row>
    <row r="318" spans="9:9" x14ac:dyDescent="0.4">
      <c r="I318" s="32"/>
    </row>
    <row r="319" spans="9:9" x14ac:dyDescent="0.4">
      <c r="I319" s="32"/>
    </row>
    <row r="320" spans="9:9" x14ac:dyDescent="0.4">
      <c r="I320" s="32"/>
    </row>
    <row r="321" spans="9:9" x14ac:dyDescent="0.4">
      <c r="I321" s="32"/>
    </row>
    <row r="322" spans="9:9" x14ac:dyDescent="0.4">
      <c r="I322" s="32"/>
    </row>
    <row r="323" spans="9:9" x14ac:dyDescent="0.4">
      <c r="I323" s="32"/>
    </row>
    <row r="324" spans="9:9" x14ac:dyDescent="0.4">
      <c r="I324" s="32"/>
    </row>
    <row r="325" spans="9:9" x14ac:dyDescent="0.4">
      <c r="I325" s="32"/>
    </row>
    <row r="326" spans="9:9" x14ac:dyDescent="0.4">
      <c r="I326" s="32"/>
    </row>
    <row r="327" spans="9:9" x14ac:dyDescent="0.4">
      <c r="I327" s="32"/>
    </row>
    <row r="328" spans="9:9" x14ac:dyDescent="0.4">
      <c r="I328" s="32"/>
    </row>
    <row r="329" spans="9:9" x14ac:dyDescent="0.4">
      <c r="I329" s="32"/>
    </row>
    <row r="330" spans="9:9" x14ac:dyDescent="0.4">
      <c r="I330" s="32"/>
    </row>
    <row r="331" spans="9:9" x14ac:dyDescent="0.4">
      <c r="I331" s="32"/>
    </row>
    <row r="332" spans="9:9" x14ac:dyDescent="0.4">
      <c r="I332" s="32"/>
    </row>
    <row r="333" spans="9:9" x14ac:dyDescent="0.4">
      <c r="I333" s="32"/>
    </row>
    <row r="334" spans="9:9" x14ac:dyDescent="0.4">
      <c r="I334" s="32"/>
    </row>
    <row r="335" spans="9:9" x14ac:dyDescent="0.4">
      <c r="I335" s="32"/>
    </row>
    <row r="336" spans="9:9" x14ac:dyDescent="0.4">
      <c r="I336" s="32"/>
    </row>
    <row r="337" spans="9:9" x14ac:dyDescent="0.4">
      <c r="I337" s="32"/>
    </row>
    <row r="338" spans="9:9" x14ac:dyDescent="0.4">
      <c r="I338" s="32"/>
    </row>
    <row r="339" spans="9:9" x14ac:dyDescent="0.4">
      <c r="I339" s="32"/>
    </row>
    <row r="340" spans="9:9" x14ac:dyDescent="0.4">
      <c r="I340" s="32"/>
    </row>
    <row r="341" spans="9:9" x14ac:dyDescent="0.4">
      <c r="I341" s="32"/>
    </row>
    <row r="342" spans="9:9" x14ac:dyDescent="0.4">
      <c r="I342" s="32"/>
    </row>
    <row r="343" spans="9:9" x14ac:dyDescent="0.4">
      <c r="I343" s="32"/>
    </row>
    <row r="344" spans="9:9" x14ac:dyDescent="0.4">
      <c r="I344" s="32"/>
    </row>
    <row r="345" spans="9:9" x14ac:dyDescent="0.4">
      <c r="I345" s="32"/>
    </row>
    <row r="346" spans="9:9" x14ac:dyDescent="0.4">
      <c r="I346" s="32"/>
    </row>
    <row r="347" spans="9:9" x14ac:dyDescent="0.4">
      <c r="I347" s="32"/>
    </row>
    <row r="348" spans="9:9" x14ac:dyDescent="0.4">
      <c r="I348" s="32"/>
    </row>
    <row r="349" spans="9:9" x14ac:dyDescent="0.4">
      <c r="I349" s="32"/>
    </row>
    <row r="350" spans="9:9" x14ac:dyDescent="0.4">
      <c r="I350" s="32"/>
    </row>
    <row r="351" spans="9:9" x14ac:dyDescent="0.4">
      <c r="I351" s="32"/>
    </row>
    <row r="352" spans="9:9" x14ac:dyDescent="0.4">
      <c r="I352" s="32"/>
    </row>
    <row r="353" spans="9:9" x14ac:dyDescent="0.4">
      <c r="I353" s="32"/>
    </row>
    <row r="354" spans="9:9" x14ac:dyDescent="0.4">
      <c r="I354" s="32"/>
    </row>
    <row r="355" spans="9:9" x14ac:dyDescent="0.4">
      <c r="I355" s="32"/>
    </row>
    <row r="356" spans="9:9" x14ac:dyDescent="0.4">
      <c r="I356" s="32"/>
    </row>
    <row r="357" spans="9:9" x14ac:dyDescent="0.4">
      <c r="I357" s="32"/>
    </row>
    <row r="358" spans="9:9" x14ac:dyDescent="0.4">
      <c r="I358" s="32"/>
    </row>
    <row r="359" spans="9:9" x14ac:dyDescent="0.4">
      <c r="I359" s="32"/>
    </row>
    <row r="360" spans="9:9" x14ac:dyDescent="0.4">
      <c r="I360" s="32"/>
    </row>
    <row r="361" spans="9:9" x14ac:dyDescent="0.4">
      <c r="I361" s="32"/>
    </row>
    <row r="362" spans="9:9" x14ac:dyDescent="0.4">
      <c r="I362" s="32"/>
    </row>
    <row r="363" spans="9:9" x14ac:dyDescent="0.4">
      <c r="I363" s="32"/>
    </row>
    <row r="364" spans="9:9" x14ac:dyDescent="0.4">
      <c r="I364" s="32"/>
    </row>
    <row r="365" spans="9:9" x14ac:dyDescent="0.4">
      <c r="I365" s="32"/>
    </row>
    <row r="366" spans="9:9" x14ac:dyDescent="0.4">
      <c r="I366" s="32"/>
    </row>
    <row r="367" spans="9:9" x14ac:dyDescent="0.4">
      <c r="I367" s="32"/>
    </row>
    <row r="368" spans="9:9" x14ac:dyDescent="0.4">
      <c r="I368" s="32"/>
    </row>
    <row r="369" spans="9:9" x14ac:dyDescent="0.4">
      <c r="I369" s="32"/>
    </row>
    <row r="370" spans="9:9" x14ac:dyDescent="0.4">
      <c r="I370" s="32"/>
    </row>
    <row r="371" spans="9:9" x14ac:dyDescent="0.4">
      <c r="I371" s="32"/>
    </row>
    <row r="372" spans="9:9" x14ac:dyDescent="0.4">
      <c r="I372" s="32"/>
    </row>
    <row r="373" spans="9:9" x14ac:dyDescent="0.4">
      <c r="I373" s="32"/>
    </row>
    <row r="374" spans="9:9" x14ac:dyDescent="0.4">
      <c r="I374" s="32"/>
    </row>
    <row r="375" spans="9:9" x14ac:dyDescent="0.4">
      <c r="I375" s="32"/>
    </row>
    <row r="376" spans="9:9" x14ac:dyDescent="0.4">
      <c r="I376" s="32"/>
    </row>
    <row r="377" spans="9:9" x14ac:dyDescent="0.4">
      <c r="I377" s="32"/>
    </row>
    <row r="378" spans="9:9" x14ac:dyDescent="0.4">
      <c r="I378" s="32"/>
    </row>
    <row r="379" spans="9:9" x14ac:dyDescent="0.4">
      <c r="I379" s="32"/>
    </row>
    <row r="380" spans="9:9" x14ac:dyDescent="0.4">
      <c r="I380" s="32"/>
    </row>
    <row r="381" spans="9:9" x14ac:dyDescent="0.4">
      <c r="I381" s="32"/>
    </row>
    <row r="382" spans="9:9" x14ac:dyDescent="0.4">
      <c r="I382" s="32"/>
    </row>
    <row r="383" spans="9:9" x14ac:dyDescent="0.4">
      <c r="I383" s="32"/>
    </row>
    <row r="384" spans="9:9" x14ac:dyDescent="0.4">
      <c r="I384" s="32"/>
    </row>
    <row r="385" spans="9:9" x14ac:dyDescent="0.4">
      <c r="I385" s="32"/>
    </row>
    <row r="386" spans="9:9" x14ac:dyDescent="0.4">
      <c r="I386" s="32"/>
    </row>
    <row r="387" spans="9:9" x14ac:dyDescent="0.4">
      <c r="I387" s="32"/>
    </row>
    <row r="388" spans="9:9" x14ac:dyDescent="0.4">
      <c r="I388" s="32"/>
    </row>
    <row r="389" spans="9:9" x14ac:dyDescent="0.4">
      <c r="I389" s="32"/>
    </row>
    <row r="390" spans="9:9" x14ac:dyDescent="0.4">
      <c r="I390" s="32"/>
    </row>
    <row r="391" spans="9:9" x14ac:dyDescent="0.4">
      <c r="I391" s="32"/>
    </row>
    <row r="392" spans="9:9" x14ac:dyDescent="0.4">
      <c r="I392" s="32"/>
    </row>
    <row r="393" spans="9:9" x14ac:dyDescent="0.4">
      <c r="I393" s="32"/>
    </row>
    <row r="394" spans="9:9" x14ac:dyDescent="0.4">
      <c r="I394" s="32"/>
    </row>
    <row r="395" spans="9:9" x14ac:dyDescent="0.4">
      <c r="I395" s="32"/>
    </row>
    <row r="396" spans="9:9" x14ac:dyDescent="0.4">
      <c r="I396" s="32"/>
    </row>
    <row r="397" spans="9:9" x14ac:dyDescent="0.4">
      <c r="I397" s="32"/>
    </row>
    <row r="398" spans="9:9" x14ac:dyDescent="0.4">
      <c r="I398" s="32"/>
    </row>
    <row r="399" spans="9:9" x14ac:dyDescent="0.4">
      <c r="I399" s="32"/>
    </row>
    <row r="400" spans="9:9" x14ac:dyDescent="0.4">
      <c r="I400" s="32"/>
    </row>
    <row r="401" spans="9:9" x14ac:dyDescent="0.4">
      <c r="I401" s="32"/>
    </row>
    <row r="402" spans="9:9" x14ac:dyDescent="0.4">
      <c r="I402" s="32"/>
    </row>
    <row r="403" spans="9:9" x14ac:dyDescent="0.4">
      <c r="I403" s="32"/>
    </row>
    <row r="404" spans="9:9" x14ac:dyDescent="0.4">
      <c r="I404" s="32"/>
    </row>
    <row r="405" spans="9:9" x14ac:dyDescent="0.4">
      <c r="I405" s="32"/>
    </row>
    <row r="406" spans="9:9" x14ac:dyDescent="0.4">
      <c r="I406" s="32"/>
    </row>
    <row r="407" spans="9:9" x14ac:dyDescent="0.4">
      <c r="I407" s="32"/>
    </row>
    <row r="408" spans="9:9" x14ac:dyDescent="0.4">
      <c r="I408" s="32"/>
    </row>
    <row r="409" spans="9:9" x14ac:dyDescent="0.4">
      <c r="I409" s="32"/>
    </row>
    <row r="410" spans="9:9" x14ac:dyDescent="0.4">
      <c r="I410" s="32"/>
    </row>
    <row r="411" spans="9:9" x14ac:dyDescent="0.4">
      <c r="I411" s="32"/>
    </row>
    <row r="412" spans="9:9" x14ac:dyDescent="0.4">
      <c r="I412" s="32"/>
    </row>
    <row r="413" spans="9:9" x14ac:dyDescent="0.4">
      <c r="I413" s="32"/>
    </row>
    <row r="414" spans="9:9" x14ac:dyDescent="0.4">
      <c r="I414" s="32"/>
    </row>
    <row r="415" spans="9:9" x14ac:dyDescent="0.4">
      <c r="I415" s="32"/>
    </row>
    <row r="416" spans="9:9" x14ac:dyDescent="0.4">
      <c r="I416" s="32"/>
    </row>
    <row r="417" spans="9:9" x14ac:dyDescent="0.4">
      <c r="I417" s="32"/>
    </row>
    <row r="418" spans="9:9" x14ac:dyDescent="0.4">
      <c r="I418" s="32"/>
    </row>
    <row r="419" spans="9:9" x14ac:dyDescent="0.4">
      <c r="I419" s="32"/>
    </row>
    <row r="420" spans="9:9" x14ac:dyDescent="0.4">
      <c r="I420" s="32"/>
    </row>
    <row r="421" spans="9:9" x14ac:dyDescent="0.4">
      <c r="I421" s="32"/>
    </row>
    <row r="422" spans="9:9" x14ac:dyDescent="0.4">
      <c r="I422" s="32"/>
    </row>
    <row r="423" spans="9:9" x14ac:dyDescent="0.4">
      <c r="I423" s="32"/>
    </row>
    <row r="424" spans="9:9" x14ac:dyDescent="0.4">
      <c r="I424" s="32"/>
    </row>
    <row r="425" spans="9:9" x14ac:dyDescent="0.4">
      <c r="I425" s="32"/>
    </row>
    <row r="426" spans="9:9" x14ac:dyDescent="0.4">
      <c r="I426" s="32"/>
    </row>
    <row r="427" spans="9:9" x14ac:dyDescent="0.4">
      <c r="I427" s="32"/>
    </row>
    <row r="428" spans="9:9" x14ac:dyDescent="0.4">
      <c r="I428" s="32"/>
    </row>
    <row r="429" spans="9:9" x14ac:dyDescent="0.4">
      <c r="I429" s="32"/>
    </row>
    <row r="430" spans="9:9" x14ac:dyDescent="0.4">
      <c r="I430" s="32"/>
    </row>
    <row r="431" spans="9:9" x14ac:dyDescent="0.4">
      <c r="I431" s="32"/>
    </row>
    <row r="432" spans="9:9" x14ac:dyDescent="0.4">
      <c r="I432" s="32"/>
    </row>
    <row r="433" spans="9:9" x14ac:dyDescent="0.4">
      <c r="I433" s="32"/>
    </row>
    <row r="434" spans="9:9" x14ac:dyDescent="0.4">
      <c r="I434" s="32"/>
    </row>
    <row r="435" spans="9:9" x14ac:dyDescent="0.4">
      <c r="I435" s="32"/>
    </row>
    <row r="436" spans="9:9" x14ac:dyDescent="0.4">
      <c r="I436" s="32"/>
    </row>
    <row r="437" spans="9:9" x14ac:dyDescent="0.4">
      <c r="I437" s="32"/>
    </row>
  </sheetData>
  <sheetProtection sheet="1" objects="1" scenarios="1"/>
  <autoFilter ref="G1:G19" xr:uid="{681BAEFB-2500-499C-9DCF-E51D93A39B2F}">
    <filterColumn colId="0">
      <filters blank="1"/>
    </filterColumn>
  </autoFilter>
  <phoneticPr fontId="27" type="noConversion"/>
  <dataValidations count="2">
    <dataValidation type="list" allowBlank="1" showInputMessage="1" sqref="E4" xr:uid="{052DC8D9-37E4-4C31-BBB5-8042C7B34CC9}">
      <formula1>Accounts_List</formula1>
    </dataValidation>
    <dataValidation type="custom" allowBlank="1" showInputMessage="1" showErrorMessage="1" errorTitle="Workpaper Approved" error="Workpaper approved - not able to edit" sqref="B12:C16" xr:uid="{161157A1-1626-4432-A987-D949CA64F842}">
      <formula1>#REF!="No"</formula1>
    </dataValidation>
  </dataValidations>
  <hyperlinks>
    <hyperlink ref="A1" location="'Trial Balance - to review'!A2" display="Trial Balance - to review" xr:uid="{A523BD4F-EB1D-4D6A-BDAF-25BC844F9FCA}"/>
  </hyperlinks>
  <pageMargins left="0.78" right="0.24" top="1" bottom="0.63" header="0.5" footer="0.5"/>
  <pageSetup paperSize="9" scale="10" orientation="portrait" r:id="rId1"/>
  <headerFooter alignWithMargins="0">
    <oddHeader>&amp;R&amp;16WP &amp;A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HNRBankRec">
                <anchor moveWithCells="1" sizeWithCells="1">
                  <from>
                    <xdr:col>7</xdr:col>
                    <xdr:colOff>228600</xdr:colOff>
                    <xdr:row>0</xdr:row>
                    <xdr:rowOff>57150</xdr:rowOff>
                  </from>
                  <to>
                    <xdr:col>8</xdr:col>
                    <xdr:colOff>1466850</xdr:colOff>
                    <xdr:row>1</xdr:row>
                    <xdr:rowOff>304800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B88D963-FD51-422B-95A7-DB5913373A44}">
          <x14:formula1>
            <xm:f>'Linked Cell Reference &amp; Char Re'!#REF!</xm:f>
          </x14:formula1>
          <xm:sqref>E2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22</vt:i4>
      </vt:variant>
    </vt:vector>
  </HeadingPairs>
  <TitlesOfParts>
    <vt:vector size="26" baseType="lpstr">
      <vt:lpstr>Xero Report Generator</vt:lpstr>
      <vt:lpstr>Trial Balance Dump</vt:lpstr>
      <vt:lpstr>File Path</vt:lpstr>
      <vt:lpstr>Source Document Link</vt:lpstr>
      <vt:lpstr>All_Accounts_in_XERO</vt:lpstr>
      <vt:lpstr>'File Path'!Cost_of_Sales</vt:lpstr>
      <vt:lpstr>Cost_of_Sales</vt:lpstr>
      <vt:lpstr>'File Path'!Current_Asset</vt:lpstr>
      <vt:lpstr>Current_Asset</vt:lpstr>
      <vt:lpstr>'File Path'!Current_Liability</vt:lpstr>
      <vt:lpstr>Current_Liability</vt:lpstr>
      <vt:lpstr>'File Path'!Equity</vt:lpstr>
      <vt:lpstr>Equity</vt:lpstr>
      <vt:lpstr>'File Path'!Expenses</vt:lpstr>
      <vt:lpstr>Expenses</vt:lpstr>
      <vt:lpstr>'File Path'!Fixed_Asset</vt:lpstr>
      <vt:lpstr>Fixed_Asset</vt:lpstr>
      <vt:lpstr>'File Path'!Income</vt:lpstr>
      <vt:lpstr>Income</vt:lpstr>
      <vt:lpstr>'File Path'!Non_current_Asset</vt:lpstr>
      <vt:lpstr>Non_current_Asset</vt:lpstr>
      <vt:lpstr>'File Path'!Non_current_Liability</vt:lpstr>
      <vt:lpstr>Non_current_Liability</vt:lpstr>
      <vt:lpstr>'Source Document Link'!Print_Area</vt:lpstr>
      <vt:lpstr>'File Path'!Trading_Income</vt:lpstr>
      <vt:lpstr>Trading_Income</vt:lpstr>
    </vt:vector>
  </TitlesOfParts>
  <Company>Brentnalls SA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Wade Crane</dc:creator>
  <cp:lastModifiedBy>jiawei qi</cp:lastModifiedBy>
  <cp:lastPrinted>2023-09-25T03:28:04Z</cp:lastPrinted>
  <dcterms:created xsi:type="dcterms:W3CDTF">2023-07-27T22:45:20Z</dcterms:created>
  <dcterms:modified xsi:type="dcterms:W3CDTF">2024-11-26T04:27:42Z</dcterms:modified>
</cp:coreProperties>
</file>